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e0de6f1f2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dictivePurchasing" sheetId="1" r:id="R642526db01cd4a83"/>
    <x:sheet xmlns:r="http://schemas.openxmlformats.org/officeDocument/2006/relationships" name="Master" sheetId="2" r:id="Re4c296443c6d40ac"/>
    <x:sheet xmlns:r="http://schemas.openxmlformats.org/officeDocument/2006/relationships" name="Mapping" sheetId="3" r:id="R5a6627c5b4e14641"/>
    <x:sheet xmlns:r="http://schemas.openxmlformats.org/officeDocument/2006/relationships" name="Canonical" sheetId="4" r:id="R89302be66ad04d23"/>
    <x:sheet xmlns:r="http://schemas.openxmlformats.org/officeDocument/2006/relationships" name="Recipes" sheetId="5" r:id="R79d6e31a0cb8481b"/>
    <x:sheet xmlns:r="http://schemas.openxmlformats.org/officeDocument/2006/relationships" name="Ingredients" sheetId="6" r:id="R2cffa1e547a3496f"/>
    <x:sheet xmlns:r="http://schemas.openxmlformats.org/officeDocument/2006/relationships" name="Packaging" sheetId="7" r:id="Re4ee7992f4c74f10"/>
    <x:sheet xmlns:r="http://schemas.openxmlformats.org/officeDocument/2006/relationships" name="UsageCases" sheetId="8" r:id="R0f150b8284f148e6"/>
    <x:sheet xmlns:r="http://schemas.openxmlformats.org/officeDocument/2006/relationships" name="ParLevels" sheetId="9" r:id="Rfdbcf52763ac4502"/>
    <x:sheet xmlns:r="http://schemas.openxmlformats.org/officeDocument/2006/relationships" name="InventoryOnHand" sheetId="10" r:id="R30766cbfad604a11"/>
    <x:sheet xmlns:r="http://schemas.openxmlformats.org/officeDocument/2006/relationships" name="ReceivingLog" sheetId="11" r:id="Rcc0ff4ab12864792"/>
    <x:sheet xmlns:r="http://schemas.openxmlformats.org/officeDocument/2006/relationships" name="ForecastValidation" sheetId="12" r:id="Rb7589ff4b084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"/>
    <x:numFmt numFmtId="201" formatCode="0.000"/>
    <x:numFmt numFmtId="202" formatCode="0.00"/>
    <x:numFmt numFmtId="203" formatCode="0"/>
    <x:numFmt numFmtId="204" formatCode="0.0%"/>
  </x:numFmts>
  <x:fonts count="9">
    <x:font>
      <x:sz val="11"/>
      <x:name val="Carlito"/>
    </x:font>
    <x:font>
      <x:sz val="11"/>
      <x:color rgb="FF202B28"/>
      <x:name val="Calibri"/>
    </x:font>
    <x:font>
      <x:b/>
      <x:sz val="16"/>
      <x:color rgb="FF234D40"/>
      <x:name val="Calibri"/>
    </x:font>
    <x:font>
      <x:i/>
      <x:sz val="10"/>
      <x:color rgb="FF59675F"/>
      <x:name val="Calibri"/>
    </x:font>
    <x:font>
      <x:b/>
      <x:sz val="11"/>
      <x:color rgb="FFFFFFFF"/>
      <x:name val="Calibri"/>
    </x:font>
    <x:font>
      <x:sz val="10"/>
      <x:color rgb="FF59675F"/>
      <x:name val="Calibri"/>
    </x:font>
    <x:font>
      <x:sz val="11"/>
      <x:color rgb="FF234D40"/>
      <x:name val="Calibri"/>
    </x:font>
    <x:font>
      <x:sz val="11"/>
      <x:color rgb="FF1D4ED8"/>
      <x:name val="Calibri"/>
    </x:font>
    <x:font>
      <x:b/>
      <x:sz val="11"/>
      <x:color rgb="FF202B28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234D40"/>
      </x:patternFill>
    </x:fill>
    <x:fill>
      <x:patternFill patternType="solid">
        <x:fgColor rgb="FFFFF1C9"/>
      </x:patternFill>
    </x:fill>
    <x:fill>
      <x:patternFill patternType="solid">
        <x:fgColor rgb="FFF8F6F0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34D40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2" fontId="7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8" fillId="4" borderId="0" xfId="0" applyNumberFormat="1" applyFont="1" applyFill="1" applyBorder="1" applyAlignment="1">
      <x:alignment vertical="center"/>
    </x:xf>
    <x:xf numFmtId="203" fontId="8" fillId="4" borderId="1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55e4e99aa4374" /><Relationship Type="http://schemas.openxmlformats.org/officeDocument/2006/relationships/theme" Target="/xl/theme/theme1.xml" Id="R0099782ee610413b" /><Relationship Type="http://schemas.openxmlformats.org/officeDocument/2006/relationships/sharedStrings" Target="/xl/sharedStrings.xml" Id="R5b951bedd1204356" /><Relationship Type="http://schemas.openxmlformats.org/officeDocument/2006/relationships/worksheet" Target="/xl/worksheets/sheet1.xml" Id="R642526db01cd4a83" /><Relationship Type="http://schemas.openxmlformats.org/officeDocument/2006/relationships/worksheet" Target="/xl/worksheets/sheet2.xml" Id="Re4c296443c6d40ac" /><Relationship Type="http://schemas.openxmlformats.org/officeDocument/2006/relationships/worksheet" Target="/xl/worksheets/sheet3.xml" Id="R5a6627c5b4e14641" /><Relationship Type="http://schemas.openxmlformats.org/officeDocument/2006/relationships/worksheet" Target="/xl/worksheets/sheet4.xml" Id="R89302be66ad04d23" /><Relationship Type="http://schemas.openxmlformats.org/officeDocument/2006/relationships/worksheet" Target="/xl/worksheets/sheet5.xml" Id="R79d6e31a0cb8481b" /><Relationship Type="http://schemas.openxmlformats.org/officeDocument/2006/relationships/worksheet" Target="/xl/worksheets/sheet6.xml" Id="R2cffa1e547a3496f" /><Relationship Type="http://schemas.openxmlformats.org/officeDocument/2006/relationships/worksheet" Target="/xl/worksheets/sheet7.xml" Id="Re4ee7992f4c74f10" /><Relationship Type="http://schemas.openxmlformats.org/officeDocument/2006/relationships/worksheet" Target="/xl/worksheets/sheet8.xml" Id="R0f150b8284f148e6" /><Relationship Type="http://schemas.openxmlformats.org/officeDocument/2006/relationships/worksheet" Target="/xl/worksheets/sheet9.xml" Id="Rfdbcf52763ac4502" /><Relationship Type="http://schemas.openxmlformats.org/officeDocument/2006/relationships/worksheet" Target="/xl/worksheets/sheet10.xml" Id="R30766cbfad604a11" /><Relationship Type="http://schemas.openxmlformats.org/officeDocument/2006/relationships/worksheet" Target="/xl/worksheets/sheet11.xml" Id="Rcc0ff4ab12864792" /><Relationship Type="http://schemas.openxmlformats.org/officeDocument/2006/relationships/worksheet" Target="/xl/worksheets/sheet12.xml" Id="Rb7589ff4b08445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Inventory purchasing demonstration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5" customHeight="1">
      <x:c r="A5" s="8" t="str">
        <x:v>Ingredient</x:v>
      </x:c>
      <x:c r="B5" s="8" t="str">
        <x:v>Case unit</x:v>
      </x:c>
      <x:c r="C5" s="8" t="str">
        <x:v>Usable cases</x:v>
      </x:c>
      <x:c r="D5" s="8" t="str">
        <x:v>Avg daily cases</x:v>
      </x:c>
      <x:c r="E5" s="8" t="str">
        <x:v>Coverage days</x:v>
      </x:c>
      <x:c r="F5" s="8" t="str">
        <x:v>Forecast cases</x:v>
      </x:c>
      <x:c r="G5" s="8" t="str">
        <x:v>Safety cases</x:v>
      </x:c>
      <x:c r="H5" s="8" t="str">
        <x:v>Inbound cases</x:v>
      </x:c>
      <x:c r="I5" s="8" t="str">
        <x:v>Cases to order</x:v>
      </x:c>
      <x:c r="J5" s="8" t="str">
        <x:v>Status</x:v>
      </x:c>
    </x:row>
    <x:row r="6" ht="23" customHeight="1">
      <x:c r="A6" s="13" t="str">
        <x:f>Packaging!A6</x:f>
        <x:v>Ingredient 01</x:v>
      </x:c>
      <x:c r="B6" s="13" t="str">
        <x:f>Packaging!D6</x:f>
        <x:v>bag</x:v>
      </x:c>
      <x:c r="C6" s="15" t="n">
        <x:f>InventoryOnHand!G6</x:f>
        <x:v>18.4</x:v>
      </x:c>
      <x:c r="D6" s="15" t="n">
        <x:f>AVERAGE(UsageCases!D6:Q6)</x:f>
        <x:v>1.9500000000000004</x:v>
      </x:c>
      <x:c r="E6" s="15" t="n">
        <x:f>ParLevels!E6</x:f>
        <x:v>16</x:v>
      </x:c>
      <x:c r="F6" s="18" t="n">
        <x:f>D6*E6</x:f>
        <x:v>31.200000000000006</x:v>
      </x:c>
      <x:c r="G6" s="15" t="n">
        <x:f>D6*ParLevels!D6</x:f>
        <x:v>3.900000000000001</x:v>
      </x:c>
      <x:c r="H6" s="15" t="n">
        <x:f>InventoryOnHand!I6</x:f>
        <x:v>5</x:v>
      </x:c>
      <x:c r="I6" s="21" t="n">
        <x:f>MAX(0,ROUNDUP(SUM(F6:G6)-SUM(C6,H6),0))</x:f>
        <x:v>12</x:v>
      </x:c>
      <x:c r="J6" s="2" t="str">
        <x:f>IF(I6&gt;0,"Review order","Covered")</x:f>
        <x:v>Review order</x:v>
      </x:c>
    </x:row>
    <x:row r="7" ht="23" customHeight="1">
      <x:c r="A7" s="13" t="str">
        <x:f>Packaging!A7</x:f>
        <x:v>Ingredient 02</x:v>
      </x:c>
      <x:c r="B7" s="13" t="str">
        <x:f>Packaging!D7</x:f>
        <x:v>box</x:v>
      </x:c>
      <x:c r="C7" s="15" t="n">
        <x:f>InventoryOnHand!G7</x:f>
        <x:v>20.1</x:v>
      </x:c>
      <x:c r="D7" s="15" t="n">
        <x:f>AVERAGE(UsageCases!D7:Q7)</x:f>
        <x:v>0.9999999999999998</x:v>
      </x:c>
      <x:c r="E7" s="15" t="n">
        <x:f>ParLevels!E7</x:f>
        <x:v>16</x:v>
      </x:c>
      <x:c r="F7" s="18" t="n">
        <x:f>D7*E7</x:f>
        <x:v>15.999999999999996</x:v>
      </x:c>
      <x:c r="G7" s="15" t="n">
        <x:f>D7*ParLevels!D7</x:f>
        <x:v>1.9999999999999996</x:v>
      </x:c>
      <x:c r="H7" s="15" t="n">
        <x:f>InventoryOnHand!I7</x:f>
        <x:v>0</x:v>
      </x:c>
      <x:c r="I7" s="21" t="n">
        <x:f>MAX(0,ROUNDUP(SUM(F7:G7)-SUM(C7,H7),0))</x:f>
        <x:v>0</x:v>
      </x:c>
      <x:c r="J7" s="2" t="str">
        <x:f>IF(I7&gt;0,"Review order","Covered")</x:f>
        <x:v>Covered</x:v>
      </x:c>
    </x:row>
    <x:row r="8" ht="23" customHeight="1">
      <x:c r="A8" s="13" t="str">
        <x:f>Packaging!A8</x:f>
        <x:v>Ingredient 03</x:v>
      </x:c>
      <x:c r="B8" s="13" t="str">
        <x:f>Packaging!D8</x:f>
        <x:v>jug</x:v>
      </x:c>
      <x:c r="C8" s="15" t="n">
        <x:f>InventoryOnHand!G8</x:f>
        <x:v>6.6</x:v>
      </x:c>
      <x:c r="D8" s="15" t="n">
        <x:f>AVERAGE(UsageCases!D8:Q8)</x:f>
        <x:v>0.6050000000000001</x:v>
      </x:c>
      <x:c r="E8" s="15" t="n">
        <x:f>ParLevels!E8</x:f>
        <x:v>16</x:v>
      </x:c>
      <x:c r="F8" s="18" t="n">
        <x:f>D8*E8</x:f>
        <x:v>9.680000000000001</x:v>
      </x:c>
      <x:c r="G8" s="15" t="n">
        <x:f>D8*ParLevels!D8</x:f>
        <x:v>1.2100000000000002</x:v>
      </x:c>
      <x:c r="H8" s="15" t="n">
        <x:f>InventoryOnHand!I8</x:f>
        <x:v>0</x:v>
      </x:c>
      <x:c r="I8" s="21" t="n">
        <x:f>MAX(0,ROUNDUP(SUM(F8:G8)-SUM(C8,H8),0))</x:f>
        <x:v>5</x:v>
      </x:c>
      <x:c r="J8" s="2" t="str">
        <x:f>IF(I8&gt;0,"Review order","Covered")</x:f>
        <x:v>Review order</x:v>
      </x:c>
    </x:row>
    <x:row r="9" ht="23" customHeight="1">
      <x:c r="A9" s="13" t="str">
        <x:f>Packaging!A9</x:f>
        <x:v>Ingredient 04</x:v>
      </x:c>
      <x:c r="B9" s="13" t="str">
        <x:f>Packaging!D9</x:f>
        <x:v>box</x:v>
      </x:c>
      <x:c r="C9" s="15" t="n">
        <x:f>InventoryOnHand!G9</x:f>
        <x:v>39.8</x:v>
      </x:c>
      <x:c r="D9" s="15" t="n">
        <x:f>AVERAGE(UsageCases!D9:Q9)</x:f>
        <x:v>1.7</x:v>
      </x:c>
      <x:c r="E9" s="15" t="n">
        <x:f>ParLevels!E9</x:f>
        <x:v>16</x:v>
      </x:c>
      <x:c r="F9" s="18" t="n">
        <x:f>D9*E9</x:f>
        <x:v>27.2</x:v>
      </x:c>
      <x:c r="G9" s="15" t="n">
        <x:f>D9*ParLevels!D9</x:f>
        <x:v>3.4</x:v>
      </x:c>
      <x:c r="H9" s="15" t="n">
        <x:f>InventoryOnHand!I9</x:f>
        <x:v>0</x:v>
      </x:c>
      <x:c r="I9" s="22" t="n">
        <x:f>MAX(0,ROUNDUP(SUM(F9:G9)-SUM(C9,H9),0))</x:f>
        <x:v>0</x:v>
      </x:c>
      <x:c r="J9" s="2" t="str">
        <x:f>IF(I9&gt;0,"Review order","Covered")</x:f>
        <x:v>Covered</x:v>
      </x:c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42" customHeight="1">
      <x:c r="A12" s="12" t="str">
        <x:v>Order = max(0, rounded-up [forecast cases + safety cases - usable cases - confirmed inbound]). Review shelf life and storage before ordering.</x:v>
      </x:c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42" customHeight="1">
      <x:c r="A15" s="12" t="str">
        <x:v>This reconstruction demonstrates the workbook workflow using 14 fictional sales days and 4 invented ingredients. It does not reproduce the production data or AI output.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38" customHeight="1">
      <x:c r="A18" s="12" t="str">
        <x:v>The exported workbook contains formulas. Email ingestion and Google Apps Script triggers are not included in this XLSX demonstration.</x:v>
      </x:c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</x:sheetData>
  <x:mergeCells>
    <x:mergeCell ref="A3:J3"/>
    <x:mergeCell ref="A12:J12"/>
    <x:mergeCell ref="A15:J15"/>
    <x:mergeCell ref="A18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3" t="str">
        <x:v>Fictional daily menu sales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5" customHeight="1">
      <x:c r="A5" s="8" t="str">
        <x:v>Menu item</x:v>
      </x:c>
      <x:c r="B5" s="9" t="d">
        <x:v>2024-01-01T00:00:00.000Z</x:v>
      </x:c>
      <x:c r="C5" s="9" t="d">
        <x:v>2024-01-02T00:00:00.000Z</x:v>
      </x:c>
      <x:c r="D5" s="9" t="d">
        <x:v>2024-01-03T00:00:00.000Z</x:v>
      </x:c>
      <x:c r="E5" s="9" t="d">
        <x:v>2024-01-04T00:00:00.000Z</x:v>
      </x:c>
      <x:c r="F5" s="9" t="d">
        <x:v>2024-01-05T00:00:00.000Z</x:v>
      </x:c>
      <x:c r="G5" s="9" t="d">
        <x:v>2024-01-06T00:00:00.000Z</x:v>
      </x:c>
      <x:c r="H5" s="9" t="d">
        <x:v>2024-01-07T00:00:00.000Z</x:v>
      </x:c>
      <x:c r="I5" s="9" t="d">
        <x:v>2024-01-08T00:00:00.000Z</x:v>
      </x:c>
      <x:c r="J5" s="9" t="d">
        <x:v>2024-01-09T00:00:00.000Z</x:v>
      </x:c>
      <x:c r="K5" s="9" t="d">
        <x:v>2024-01-10T00:00:00.000Z</x:v>
      </x:c>
      <x:c r="L5" s="9" t="d">
        <x:v>2024-01-11T00:00:00.000Z</x:v>
      </x:c>
      <x:c r="M5" s="9" t="d">
        <x:v>2024-01-12T00:00:00.000Z</x:v>
      </x:c>
      <x:c r="N5" s="9" t="d">
        <x:v>2024-01-13T00:00:00.000Z</x:v>
      </x:c>
      <x:c r="O5" s="9" t="d">
        <x:v>2024-01-14T00:00:00.000Z</x:v>
      </x:c>
      <x:c r="P5" s="2"/>
      <x:c r="Q5" s="2"/>
      <x:c r="R5" s="2"/>
    </x:row>
    <x:row r="6" ht="23" customHeight="1">
      <x:c r="A6" s="2" t="str">
        <x:v>Bowl A</x:v>
      </x:c>
      <x:c r="B6" s="16" t="n">
        <x:v>12</x:v>
      </x:c>
      <x:c r="C6" s="10" t="n">
        <x:v>15</x:v>
      </x:c>
      <x:c r="D6" s="10" t="n">
        <x:v>18</x:v>
      </x:c>
      <x:c r="E6" s="10" t="n">
        <x:v>14</x:v>
      </x:c>
      <x:c r="F6" s="10" t="n">
        <x:v>17</x:v>
      </x:c>
      <x:c r="G6" s="10" t="n">
        <x:v>13</x:v>
      </x:c>
      <x:c r="H6" s="10" t="n">
        <x:v>16</x:v>
      </x:c>
      <x:c r="I6" s="10" t="n">
        <x:v>12</x:v>
      </x:c>
      <x:c r="J6" s="10" t="n">
        <x:v>15</x:v>
      </x:c>
      <x:c r="K6" s="10" t="n">
        <x:v>18</x:v>
      </x:c>
      <x:c r="L6" s="10" t="n">
        <x:v>14</x:v>
      </x:c>
      <x:c r="M6" s="10" t="n">
        <x:v>17</x:v>
      </x:c>
      <x:c r="N6" s="10" t="n">
        <x:v>13</x:v>
      </x:c>
      <x:c r="O6" s="10" t="n">
        <x:v>16</x:v>
      </x:c>
      <x:c r="P6" s="2"/>
      <x:c r="Q6" s="2"/>
      <x:c r="R6" s="2"/>
    </x:row>
    <x:row r="7" ht="23" customHeight="1">
      <x:c r="A7" s="2" t="str">
        <x:v>Bowl A Large</x:v>
      </x:c>
      <x:c r="B7" s="10" t="n">
        <x:v>7</x:v>
      </x:c>
      <x:c r="C7" s="10" t="n">
        <x:v>10</x:v>
      </x:c>
      <x:c r="D7" s="10" t="n">
        <x:v>6</x:v>
      </x:c>
      <x:c r="E7" s="10" t="n">
        <x:v>9</x:v>
      </x:c>
      <x:c r="F7" s="10" t="n">
        <x:v>5</x:v>
      </x:c>
      <x:c r="G7" s="10" t="n">
        <x:v>8</x:v>
      </x:c>
      <x:c r="H7" s="10" t="n">
        <x:v>11</x:v>
      </x:c>
      <x:c r="I7" s="10" t="n">
        <x:v>7</x:v>
      </x:c>
      <x:c r="J7" s="10" t="n">
        <x:v>10</x:v>
      </x:c>
      <x:c r="K7" s="10" t="n">
        <x:v>6</x:v>
      </x:c>
      <x:c r="L7" s="10" t="n">
        <x:v>9</x:v>
      </x:c>
      <x:c r="M7" s="10" t="n">
        <x:v>5</x:v>
      </x:c>
      <x:c r="N7" s="10" t="n">
        <x:v>8</x:v>
      </x:c>
      <x:c r="O7" s="10" t="n">
        <x:v>11</x:v>
      </x:c>
      <x:c r="P7" s="2"/>
      <x:c r="Q7" s="2"/>
      <x:c r="R7" s="2"/>
    </x:row>
    <x:row r="8" ht="23" customHeight="1">
      <x:c r="A8" s="2" t="str">
        <x:v>Bowl B</x:v>
      </x:c>
      <x:c r="B8" s="10" t="n">
        <x:v>13</x:v>
      </x:c>
      <x:c r="C8" s="10" t="n">
        <x:v>9</x:v>
      </x:c>
      <x:c r="D8" s="10" t="n">
        <x:v>12</x:v>
      </x:c>
      <x:c r="E8" s="10" t="n">
        <x:v>15</x:v>
      </x:c>
      <x:c r="F8" s="10" t="n">
        <x:v>11</x:v>
      </x:c>
      <x:c r="G8" s="10" t="n">
        <x:v>14</x:v>
      </x:c>
      <x:c r="H8" s="10" t="n">
        <x:v>10</x:v>
      </x:c>
      <x:c r="I8" s="10" t="n">
        <x:v>13</x:v>
      </x:c>
      <x:c r="J8" s="10" t="n">
        <x:v>9</x:v>
      </x:c>
      <x:c r="K8" s="10" t="n">
        <x:v>12</x:v>
      </x:c>
      <x:c r="L8" s="10" t="n">
        <x:v>15</x:v>
      </x:c>
      <x:c r="M8" s="10" t="n">
        <x:v>11</x:v>
      </x:c>
      <x:c r="N8" s="10" t="n">
        <x:v>14</x:v>
      </x:c>
      <x:c r="O8" s="10" t="n">
        <x:v>10</x:v>
      </x:c>
      <x:c r="P8" s="2"/>
      <x:c r="Q8" s="2"/>
      <x:c r="R8" s="2"/>
    </x:row>
    <x:row r="9" ht="23" customHeight="1">
      <x:c r="A9" s="2" t="str">
        <x:v>Side C</x:v>
      </x:c>
      <x:c r="B9" s="10" t="n">
        <x:v>13</x:v>
      </x:c>
      <x:c r="C9" s="10" t="n">
        <x:v>9</x:v>
      </x:c>
      <x:c r="D9" s="10" t="n">
        <x:v>12</x:v>
      </x:c>
      <x:c r="E9" s="10" t="n">
        <x:v>8</x:v>
      </x:c>
      <x:c r="F9" s="10" t="n">
        <x:v>11</x:v>
      </x:c>
      <x:c r="G9" s="10" t="n">
        <x:v>7</x:v>
      </x:c>
      <x:c r="H9" s="10" t="n">
        <x:v>10</x:v>
      </x:c>
      <x:c r="I9" s="10" t="n">
        <x:v>13</x:v>
      </x:c>
      <x:c r="J9" s="10" t="n">
        <x:v>9</x:v>
      </x:c>
      <x:c r="K9" s="10" t="n">
        <x:v>12</x:v>
      </x:c>
      <x:c r="L9" s="10" t="n">
        <x:v>8</x:v>
      </x:c>
      <x:c r="M9" s="10" t="n">
        <x:v>11</x:v>
      </x:c>
      <x:c r="N9" s="10" t="n">
        <x:v>7</x:v>
      </x:c>
      <x:c r="O9" s="10" t="n">
        <x:v>10</x:v>
      </x:c>
      <x:c r="P9" s="2"/>
      <x:c r="Q9" s="2"/>
      <x:c r="R9" s="2"/>
    </x:row>
    <x:row r="10" ht="23" customHeight="1">
      <x:c r="A10" s="2" t="str">
        <x:v>Meal A</x:v>
      </x:c>
      <x:c r="B10" s="10" t="n">
        <x:v>5</x:v>
      </x:c>
      <x:c r="C10" s="10" t="n">
        <x:v>8</x:v>
      </x:c>
      <x:c r="D10" s="10" t="n">
        <x:v>4</x:v>
      </x:c>
      <x:c r="E10" s="10" t="n">
        <x:v>7</x:v>
      </x:c>
      <x:c r="F10" s="10" t="n">
        <x:v>10</x:v>
      </x:c>
      <x:c r="G10" s="10" t="n">
        <x:v>6</x:v>
      </x:c>
      <x:c r="H10" s="10" t="n">
        <x:v>9</x:v>
      </x:c>
      <x:c r="I10" s="10" t="n">
        <x:v>5</x:v>
      </x:c>
      <x:c r="J10" s="10" t="n">
        <x:v>8</x:v>
      </x:c>
      <x:c r="K10" s="10" t="n">
        <x:v>4</x:v>
      </x:c>
      <x:c r="L10" s="10" t="n">
        <x:v>7</x:v>
      </x:c>
      <x:c r="M10" s="10" t="n">
        <x:v>10</x:v>
      </x:c>
      <x:c r="N10" s="10" t="n">
        <x:v>6</x:v>
      </x:c>
      <x:c r="O10" s="10" t="n">
        <x:v>9</x:v>
      </x:c>
      <x:c r="P10" s="2"/>
      <x:c r="Q10" s="2"/>
      <x:c r="R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40" customHeight="1">
      <x:c r="A13" s="12" t="str">
        <x:v>14 complete fictional days. Every quantity was generated for this demonstration. No POS history is retained.</x:v>
      </x:c>
      <x:c r="B13" s="12"/>
      <x:c r="C13" s="12"/>
      <x:c r="D13" s="12"/>
      <x:c r="E13" s="12"/>
      <x:c r="F13" s="12"/>
      <x:c r="G13" s="12"/>
      <x:c r="H13" s="1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</x:sheetData>
  <x:mergeCells>
    <x:mergeCell ref="A3:R3"/>
    <x:mergeCell ref="A13:H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3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3" t="str">
        <x:v>Menu component mapping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5" customHeight="1">
      <x:c r="A5" s="8" t="str">
        <x:v>Menu item</x:v>
      </x:c>
      <x:c r="B5" s="8" t="str">
        <x:v>Component dish</x:v>
      </x:c>
      <x:c r="C5" s="8" t="str">
        <x:v>Multiplier</x:v>
      </x:c>
      <x:c r="D5" s="9" t="d">
        <x:v>2024-01-01T00:00:00.000Z</x:v>
      </x:c>
      <x:c r="E5" s="9" t="d">
        <x:v>2024-01-02T00:00:00.000Z</x:v>
      </x:c>
      <x:c r="F5" s="9" t="d">
        <x:v>2024-01-03T00:00:00.000Z</x:v>
      </x:c>
      <x:c r="G5" s="9" t="d">
        <x:v>2024-01-04T00:00:00.000Z</x:v>
      </x:c>
      <x:c r="H5" s="9" t="d">
        <x:v>2024-01-05T00:00:00.000Z</x:v>
      </x:c>
      <x:c r="I5" s="9" t="d">
        <x:v>2024-01-06T00:00:00.000Z</x:v>
      </x:c>
      <x:c r="J5" s="9" t="d">
        <x:v>2024-01-07T00:00:00.000Z</x:v>
      </x:c>
      <x:c r="K5" s="9" t="d">
        <x:v>2024-01-08T00:00:00.000Z</x:v>
      </x:c>
      <x:c r="L5" s="9" t="d">
        <x:v>2024-01-09T00:00:00.000Z</x:v>
      </x:c>
      <x:c r="M5" s="9" t="d">
        <x:v>2024-01-10T00:00:00.000Z</x:v>
      </x:c>
      <x:c r="N5" s="9" t="d">
        <x:v>2024-01-11T00:00:00.000Z</x:v>
      </x:c>
      <x:c r="O5" s="9" t="d">
        <x:v>2024-01-12T00:00:00.000Z</x:v>
      </x:c>
      <x:c r="P5" s="9" t="d">
        <x:v>2024-01-13T00:00:00.000Z</x:v>
      </x:c>
      <x:c r="Q5" s="9" t="d">
        <x:v>2024-01-14T00:00:00.000Z</x:v>
      </x:c>
      <x:c r="R5" s="2"/>
    </x:row>
    <x:row r="6" ht="23" customHeight="1">
      <x:c r="A6" s="10" t="str">
        <x:v>Bowl A</x:v>
      </x:c>
      <x:c r="B6" s="10" t="str">
        <x:v>Dish A</x:v>
      </x:c>
      <x:c r="C6" s="10" t="n">
        <x:v>1</x:v>
      </x:c>
      <x:c r="D6" s="13" t="n">
        <x:f>INDEX(Master!B$6:B$10,MATCH($A6,Master!$A$6:$A$10,0))*$C6</x:f>
        <x:v>12</x:v>
      </x:c>
      <x:c r="E6" s="13" t="n">
        <x:f>INDEX(Master!C$6:C$10,MATCH($A6,Master!$A$6:$A$10,0))*$C6</x:f>
        <x:v>15</x:v>
      </x:c>
      <x:c r="F6" s="13" t="n">
        <x:f>INDEX(Master!D$6:D$10,MATCH($A6,Master!$A$6:$A$10,0))*$C6</x:f>
        <x:v>18</x:v>
      </x:c>
      <x:c r="G6" s="13" t="n">
        <x:f>INDEX(Master!E$6:E$10,MATCH($A6,Master!$A$6:$A$10,0))*$C6</x:f>
        <x:v>14</x:v>
      </x:c>
      <x:c r="H6" s="13" t="n">
        <x:f>INDEX(Master!F$6:F$10,MATCH($A6,Master!$A$6:$A$10,0))*$C6</x:f>
        <x:v>17</x:v>
      </x:c>
      <x:c r="I6" s="13" t="n">
        <x:f>INDEX(Master!G$6:G$10,MATCH($A6,Master!$A$6:$A$10,0))*$C6</x:f>
        <x:v>13</x:v>
      </x:c>
      <x:c r="J6" s="13" t="n">
        <x:f>INDEX(Master!H$6:H$10,MATCH($A6,Master!$A$6:$A$10,0))*$C6</x:f>
        <x:v>16</x:v>
      </x:c>
      <x:c r="K6" s="13" t="n">
        <x:f>INDEX(Master!I$6:I$10,MATCH($A6,Master!$A$6:$A$10,0))*$C6</x:f>
        <x:v>12</x:v>
      </x:c>
      <x:c r="L6" s="13" t="n">
        <x:f>INDEX(Master!J$6:J$10,MATCH($A6,Master!$A$6:$A$10,0))*$C6</x:f>
        <x:v>15</x:v>
      </x:c>
      <x:c r="M6" s="13" t="n">
        <x:f>INDEX(Master!K$6:K$10,MATCH($A6,Master!$A$6:$A$10,0))*$C6</x:f>
        <x:v>18</x:v>
      </x:c>
      <x:c r="N6" s="13" t="n">
        <x:f>INDEX(Master!L$6:L$10,MATCH($A6,Master!$A$6:$A$10,0))*$C6</x:f>
        <x:v>14</x:v>
      </x:c>
      <x:c r="O6" s="13" t="n">
        <x:f>INDEX(Master!M$6:M$10,MATCH($A6,Master!$A$6:$A$10,0))*$C6</x:f>
        <x:v>17</x:v>
      </x:c>
      <x:c r="P6" s="13" t="n">
        <x:f>INDEX(Master!N$6:N$10,MATCH($A6,Master!$A$6:$A$10,0))*$C6</x:f>
        <x:v>13</x:v>
      </x:c>
      <x:c r="Q6" s="13" t="n">
        <x:f>INDEX(Master!O$6:O$10,MATCH($A6,Master!$A$6:$A$10,0))*$C6</x:f>
        <x:v>16</x:v>
      </x:c>
      <x:c r="R6" s="2"/>
    </x:row>
    <x:row r="7" ht="23" customHeight="1">
      <x:c r="A7" s="10" t="str">
        <x:v>Bowl A Large</x:v>
      </x:c>
      <x:c r="B7" s="10" t="str">
        <x:v>Dish A</x:v>
      </x:c>
      <x:c r="C7" s="10" t="n">
        <x:v>1.5</x:v>
      </x:c>
      <x:c r="D7" s="13" t="n">
        <x:f>INDEX(Master!B$6:B$10,MATCH($A7,Master!$A$6:$A$10,0))*$C7</x:f>
        <x:v>10.5</x:v>
      </x:c>
      <x:c r="E7" s="13" t="n">
        <x:f>INDEX(Master!C$6:C$10,MATCH($A7,Master!$A$6:$A$10,0))*$C7</x:f>
        <x:v>15</x:v>
      </x:c>
      <x:c r="F7" s="13" t="n">
        <x:f>INDEX(Master!D$6:D$10,MATCH($A7,Master!$A$6:$A$10,0))*$C7</x:f>
        <x:v>9</x:v>
      </x:c>
      <x:c r="G7" s="13" t="n">
        <x:f>INDEX(Master!E$6:E$10,MATCH($A7,Master!$A$6:$A$10,0))*$C7</x:f>
        <x:v>13.5</x:v>
      </x:c>
      <x:c r="H7" s="13" t="n">
        <x:f>INDEX(Master!F$6:F$10,MATCH($A7,Master!$A$6:$A$10,0))*$C7</x:f>
        <x:v>7.5</x:v>
      </x:c>
      <x:c r="I7" s="13" t="n">
        <x:f>INDEX(Master!G$6:G$10,MATCH($A7,Master!$A$6:$A$10,0))*$C7</x:f>
        <x:v>12</x:v>
      </x:c>
      <x:c r="J7" s="13" t="n">
        <x:f>INDEX(Master!H$6:H$10,MATCH($A7,Master!$A$6:$A$10,0))*$C7</x:f>
        <x:v>16.5</x:v>
      </x:c>
      <x:c r="K7" s="13" t="n">
        <x:f>INDEX(Master!I$6:I$10,MATCH($A7,Master!$A$6:$A$10,0))*$C7</x:f>
        <x:v>10.5</x:v>
      </x:c>
      <x:c r="L7" s="13" t="n">
        <x:f>INDEX(Master!J$6:J$10,MATCH($A7,Master!$A$6:$A$10,0))*$C7</x:f>
        <x:v>15</x:v>
      </x:c>
      <x:c r="M7" s="13" t="n">
        <x:f>INDEX(Master!K$6:K$10,MATCH($A7,Master!$A$6:$A$10,0))*$C7</x:f>
        <x:v>9</x:v>
      </x:c>
      <x:c r="N7" s="13" t="n">
        <x:f>INDEX(Master!L$6:L$10,MATCH($A7,Master!$A$6:$A$10,0))*$C7</x:f>
        <x:v>13.5</x:v>
      </x:c>
      <x:c r="O7" s="13" t="n">
        <x:f>INDEX(Master!M$6:M$10,MATCH($A7,Master!$A$6:$A$10,0))*$C7</x:f>
        <x:v>7.5</x:v>
      </x:c>
      <x:c r="P7" s="13" t="n">
        <x:f>INDEX(Master!N$6:N$10,MATCH($A7,Master!$A$6:$A$10,0))*$C7</x:f>
        <x:v>12</x:v>
      </x:c>
      <x:c r="Q7" s="13" t="n">
        <x:f>INDEX(Master!O$6:O$10,MATCH($A7,Master!$A$6:$A$10,0))*$C7</x:f>
        <x:v>16.5</x:v>
      </x:c>
      <x:c r="R7" s="2"/>
    </x:row>
    <x:row r="8" ht="23" customHeight="1">
      <x:c r="A8" s="10" t="str">
        <x:v>Bowl B</x:v>
      </x:c>
      <x:c r="B8" s="10" t="str">
        <x:v>Dish B</x:v>
      </x:c>
      <x:c r="C8" s="10" t="n">
        <x:v>1</x:v>
      </x:c>
      <x:c r="D8" s="13" t="n">
        <x:f>INDEX(Master!B$6:B$10,MATCH($A8,Master!$A$6:$A$10,0))*$C8</x:f>
        <x:v>13</x:v>
      </x:c>
      <x:c r="E8" s="13" t="n">
        <x:f>INDEX(Master!C$6:C$10,MATCH($A8,Master!$A$6:$A$10,0))*$C8</x:f>
        <x:v>9</x:v>
      </x:c>
      <x:c r="F8" s="13" t="n">
        <x:f>INDEX(Master!D$6:D$10,MATCH($A8,Master!$A$6:$A$10,0))*$C8</x:f>
        <x:v>12</x:v>
      </x:c>
      <x:c r="G8" s="13" t="n">
        <x:f>INDEX(Master!E$6:E$10,MATCH($A8,Master!$A$6:$A$10,0))*$C8</x:f>
        <x:v>15</x:v>
      </x:c>
      <x:c r="H8" s="13" t="n">
        <x:f>INDEX(Master!F$6:F$10,MATCH($A8,Master!$A$6:$A$10,0))*$C8</x:f>
        <x:v>11</x:v>
      </x:c>
      <x:c r="I8" s="13" t="n">
        <x:f>INDEX(Master!G$6:G$10,MATCH($A8,Master!$A$6:$A$10,0))*$C8</x:f>
        <x:v>14</x:v>
      </x:c>
      <x:c r="J8" s="13" t="n">
        <x:f>INDEX(Master!H$6:H$10,MATCH($A8,Master!$A$6:$A$10,0))*$C8</x:f>
        <x:v>10</x:v>
      </x:c>
      <x:c r="K8" s="13" t="n">
        <x:f>INDEX(Master!I$6:I$10,MATCH($A8,Master!$A$6:$A$10,0))*$C8</x:f>
        <x:v>13</x:v>
      </x:c>
      <x:c r="L8" s="13" t="n">
        <x:f>INDEX(Master!J$6:J$10,MATCH($A8,Master!$A$6:$A$10,0))*$C8</x:f>
        <x:v>9</x:v>
      </x:c>
      <x:c r="M8" s="13" t="n">
        <x:f>INDEX(Master!K$6:K$10,MATCH($A8,Master!$A$6:$A$10,0))*$C8</x:f>
        <x:v>12</x:v>
      </x:c>
      <x:c r="N8" s="13" t="n">
        <x:f>INDEX(Master!L$6:L$10,MATCH($A8,Master!$A$6:$A$10,0))*$C8</x:f>
        <x:v>15</x:v>
      </x:c>
      <x:c r="O8" s="13" t="n">
        <x:f>INDEX(Master!M$6:M$10,MATCH($A8,Master!$A$6:$A$10,0))*$C8</x:f>
        <x:v>11</x:v>
      </x:c>
      <x:c r="P8" s="13" t="n">
        <x:f>INDEX(Master!N$6:N$10,MATCH($A8,Master!$A$6:$A$10,0))*$C8</x:f>
        <x:v>14</x:v>
      </x:c>
      <x:c r="Q8" s="13" t="n">
        <x:f>INDEX(Master!O$6:O$10,MATCH($A8,Master!$A$6:$A$10,0))*$C8</x:f>
        <x:v>10</x:v>
      </x:c>
      <x:c r="R8" s="2"/>
    </x:row>
    <x:row r="9" ht="23" customHeight="1">
      <x:c r="A9" s="10" t="str">
        <x:v>Side C</x:v>
      </x:c>
      <x:c r="B9" s="10" t="str">
        <x:v>Dish C</x:v>
      </x:c>
      <x:c r="C9" s="10" t="n">
        <x:v>1</x:v>
      </x:c>
      <x:c r="D9" s="13" t="n">
        <x:f>INDEX(Master!B$6:B$10,MATCH($A9,Master!$A$6:$A$10,0))*$C9</x:f>
        <x:v>13</x:v>
      </x:c>
      <x:c r="E9" s="13" t="n">
        <x:f>INDEX(Master!C$6:C$10,MATCH($A9,Master!$A$6:$A$10,0))*$C9</x:f>
        <x:v>9</x:v>
      </x:c>
      <x:c r="F9" s="13" t="n">
        <x:f>INDEX(Master!D$6:D$10,MATCH($A9,Master!$A$6:$A$10,0))*$C9</x:f>
        <x:v>12</x:v>
      </x:c>
      <x:c r="G9" s="13" t="n">
        <x:f>INDEX(Master!E$6:E$10,MATCH($A9,Master!$A$6:$A$10,0))*$C9</x:f>
        <x:v>8</x:v>
      </x:c>
      <x:c r="H9" s="13" t="n">
        <x:f>INDEX(Master!F$6:F$10,MATCH($A9,Master!$A$6:$A$10,0))*$C9</x:f>
        <x:v>11</x:v>
      </x:c>
      <x:c r="I9" s="13" t="n">
        <x:f>INDEX(Master!G$6:G$10,MATCH($A9,Master!$A$6:$A$10,0))*$C9</x:f>
        <x:v>7</x:v>
      </x:c>
      <x:c r="J9" s="13" t="n">
        <x:f>INDEX(Master!H$6:H$10,MATCH($A9,Master!$A$6:$A$10,0))*$C9</x:f>
        <x:v>10</x:v>
      </x:c>
      <x:c r="K9" s="13" t="n">
        <x:f>INDEX(Master!I$6:I$10,MATCH($A9,Master!$A$6:$A$10,0))*$C9</x:f>
        <x:v>13</x:v>
      </x:c>
      <x:c r="L9" s="13" t="n">
        <x:f>INDEX(Master!J$6:J$10,MATCH($A9,Master!$A$6:$A$10,0))*$C9</x:f>
        <x:v>9</x:v>
      </x:c>
      <x:c r="M9" s="13" t="n">
        <x:f>INDEX(Master!K$6:K$10,MATCH($A9,Master!$A$6:$A$10,0))*$C9</x:f>
        <x:v>12</x:v>
      </x:c>
      <x:c r="N9" s="13" t="n">
        <x:f>INDEX(Master!L$6:L$10,MATCH($A9,Master!$A$6:$A$10,0))*$C9</x:f>
        <x:v>8</x:v>
      </x:c>
      <x:c r="O9" s="13" t="n">
        <x:f>INDEX(Master!M$6:M$10,MATCH($A9,Master!$A$6:$A$10,0))*$C9</x:f>
        <x:v>11</x:v>
      </x:c>
      <x:c r="P9" s="13" t="n">
        <x:f>INDEX(Master!N$6:N$10,MATCH($A9,Master!$A$6:$A$10,0))*$C9</x:f>
        <x:v>7</x:v>
      </x:c>
      <x:c r="Q9" s="13" t="n">
        <x:f>INDEX(Master!O$6:O$10,MATCH($A9,Master!$A$6:$A$10,0))*$C9</x:f>
        <x:v>10</x:v>
      </x:c>
      <x:c r="R9" s="2"/>
    </x:row>
    <x:row r="10" ht="23" customHeight="1">
      <x:c r="A10" s="10" t="str">
        <x:v>Meal A</x:v>
      </x:c>
      <x:c r="B10" s="10" t="str">
        <x:v>Dish A</x:v>
      </x:c>
      <x:c r="C10" s="10" t="n">
        <x:v>1</x:v>
      </x:c>
      <x:c r="D10" s="13" t="n">
        <x:f>INDEX(Master!B$6:B$10,MATCH($A10,Master!$A$6:$A$10,0))*$C10</x:f>
        <x:v>5</x:v>
      </x:c>
      <x:c r="E10" s="13" t="n">
        <x:f>INDEX(Master!C$6:C$10,MATCH($A10,Master!$A$6:$A$10,0))*$C10</x:f>
        <x:v>8</x:v>
      </x:c>
      <x:c r="F10" s="13" t="n">
        <x:f>INDEX(Master!D$6:D$10,MATCH($A10,Master!$A$6:$A$10,0))*$C10</x:f>
        <x:v>4</x:v>
      </x:c>
      <x:c r="G10" s="13" t="n">
        <x:f>INDEX(Master!E$6:E$10,MATCH($A10,Master!$A$6:$A$10,0))*$C10</x:f>
        <x:v>7</x:v>
      </x:c>
      <x:c r="H10" s="13" t="n">
        <x:f>INDEX(Master!F$6:F$10,MATCH($A10,Master!$A$6:$A$10,0))*$C10</x:f>
        <x:v>10</x:v>
      </x:c>
      <x:c r="I10" s="13" t="n">
        <x:f>INDEX(Master!G$6:G$10,MATCH($A10,Master!$A$6:$A$10,0))*$C10</x:f>
        <x:v>6</x:v>
      </x:c>
      <x:c r="J10" s="13" t="n">
        <x:f>INDEX(Master!H$6:H$10,MATCH($A10,Master!$A$6:$A$10,0))*$C10</x:f>
        <x:v>9</x:v>
      </x:c>
      <x:c r="K10" s="13" t="n">
        <x:f>INDEX(Master!I$6:I$10,MATCH($A10,Master!$A$6:$A$10,0))*$C10</x:f>
        <x:v>5</x:v>
      </x:c>
      <x:c r="L10" s="13" t="n">
        <x:f>INDEX(Master!J$6:J$10,MATCH($A10,Master!$A$6:$A$10,0))*$C10</x:f>
        <x:v>8</x:v>
      </x:c>
      <x:c r="M10" s="13" t="n">
        <x:f>INDEX(Master!K$6:K$10,MATCH($A10,Master!$A$6:$A$10,0))*$C10</x:f>
        <x:v>4</x:v>
      </x:c>
      <x:c r="N10" s="13" t="n">
        <x:f>INDEX(Master!L$6:L$10,MATCH($A10,Master!$A$6:$A$10,0))*$C10</x:f>
        <x:v>7</x:v>
      </x:c>
      <x:c r="O10" s="13" t="n">
        <x:f>INDEX(Master!M$6:M$10,MATCH($A10,Master!$A$6:$A$10,0))*$C10</x:f>
        <x:v>10</x:v>
      </x:c>
      <x:c r="P10" s="13" t="n">
        <x:f>INDEX(Master!N$6:N$10,MATCH($A10,Master!$A$6:$A$10,0))*$C10</x:f>
        <x:v>6</x:v>
      </x:c>
      <x:c r="Q10" s="13" t="n">
        <x:f>INDEX(Master!O$6:O$10,MATCH($A10,Master!$A$6:$A$10,0))*$C10</x:f>
        <x:v>9</x:v>
      </x:c>
      <x:c r="R10" s="2"/>
    </x:row>
    <x:row r="11" ht="23" customHeight="1">
      <x:c r="A11" s="10" t="str">
        <x:v>Meal A</x:v>
      </x:c>
      <x:c r="B11" s="10" t="str">
        <x:v>Dish C</x:v>
      </x:c>
      <x:c r="C11" s="10" t="n">
        <x:v>1</x:v>
      </x:c>
      <x:c r="D11" s="13" t="n">
        <x:f>INDEX(Master!B$6:B$10,MATCH($A11,Master!$A$6:$A$10,0))*$C11</x:f>
        <x:v>5</x:v>
      </x:c>
      <x:c r="E11" s="13" t="n">
        <x:f>INDEX(Master!C$6:C$10,MATCH($A11,Master!$A$6:$A$10,0))*$C11</x:f>
        <x:v>8</x:v>
      </x:c>
      <x:c r="F11" s="13" t="n">
        <x:f>INDEX(Master!D$6:D$10,MATCH($A11,Master!$A$6:$A$10,0))*$C11</x:f>
        <x:v>4</x:v>
      </x:c>
      <x:c r="G11" s="13" t="n">
        <x:f>INDEX(Master!E$6:E$10,MATCH($A11,Master!$A$6:$A$10,0))*$C11</x:f>
        <x:v>7</x:v>
      </x:c>
      <x:c r="H11" s="13" t="n">
        <x:f>INDEX(Master!F$6:F$10,MATCH($A11,Master!$A$6:$A$10,0))*$C11</x:f>
        <x:v>10</x:v>
      </x:c>
      <x:c r="I11" s="13" t="n">
        <x:f>INDEX(Master!G$6:G$10,MATCH($A11,Master!$A$6:$A$10,0))*$C11</x:f>
        <x:v>6</x:v>
      </x:c>
      <x:c r="J11" s="13" t="n">
        <x:f>INDEX(Master!H$6:H$10,MATCH($A11,Master!$A$6:$A$10,0))*$C11</x:f>
        <x:v>9</x:v>
      </x:c>
      <x:c r="K11" s="13" t="n">
        <x:f>INDEX(Master!I$6:I$10,MATCH($A11,Master!$A$6:$A$10,0))*$C11</x:f>
        <x:v>5</x:v>
      </x:c>
      <x:c r="L11" s="13" t="n">
        <x:f>INDEX(Master!J$6:J$10,MATCH($A11,Master!$A$6:$A$10,0))*$C11</x:f>
        <x:v>8</x:v>
      </x:c>
      <x:c r="M11" s="13" t="n">
        <x:f>INDEX(Master!K$6:K$10,MATCH($A11,Master!$A$6:$A$10,0))*$C11</x:f>
        <x:v>4</x:v>
      </x:c>
      <x:c r="N11" s="13" t="n">
        <x:f>INDEX(Master!L$6:L$10,MATCH($A11,Master!$A$6:$A$10,0))*$C11</x:f>
        <x:v>7</x:v>
      </x:c>
      <x:c r="O11" s="13" t="n">
        <x:f>INDEX(Master!M$6:M$10,MATCH($A11,Master!$A$6:$A$10,0))*$C11</x:f>
        <x:v>10</x:v>
      </x:c>
      <x:c r="P11" s="13" t="n">
        <x:f>INDEX(Master!N$6:N$10,MATCH($A11,Master!$A$6:$A$10,0))*$C11</x:f>
        <x:v>6</x:v>
      </x:c>
      <x:c r="Q11" s="13" t="n">
        <x:f>INDEX(Master!O$6:O$10,MATCH($A11,Master!$A$6:$A$10,0))*$C11</x:f>
        <x:v>9</x:v>
      </x:c>
      <x:c r="R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40" customHeight="1">
      <x:c r="A14" s="12" t="str">
        <x:v>Meal A has two component rows. The large bowl uses an invented 1.5 multiplier. No actual menu mappings are disclosed.</x:v>
      </x:c>
      <x:c r="B14" s="12"/>
      <x:c r="C14" s="12"/>
      <x:c r="D14" s="12"/>
      <x:c r="E14" s="12"/>
      <x:c r="F14" s="12"/>
      <x:c r="G14" s="12"/>
      <x:c r="H14" s="1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</x:sheetData>
  <x:mergeCells>
    <x:mergeCell ref="A3:R3"/>
    <x:mergeCell ref="A14:H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3" t="str">
        <x:v>Standardized dish quantities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5" customHeight="1">
      <x:c r="A5" s="8" t="str">
        <x:v>Component dish</x:v>
      </x:c>
      <x:c r="B5" s="9" t="d">
        <x:v>2024-01-01T00:00:00.000Z</x:v>
      </x:c>
      <x:c r="C5" s="9" t="d">
        <x:v>2024-01-02T00:00:00.000Z</x:v>
      </x:c>
      <x:c r="D5" s="9" t="d">
        <x:v>2024-01-03T00:00:00.000Z</x:v>
      </x:c>
      <x:c r="E5" s="9" t="d">
        <x:v>2024-01-04T00:00:00.000Z</x:v>
      </x:c>
      <x:c r="F5" s="9" t="d">
        <x:v>2024-01-05T00:00:00.000Z</x:v>
      </x:c>
      <x:c r="G5" s="9" t="d">
        <x:v>2024-01-06T00:00:00.000Z</x:v>
      </x:c>
      <x:c r="H5" s="9" t="d">
        <x:v>2024-01-07T00:00:00.000Z</x:v>
      </x:c>
      <x:c r="I5" s="9" t="d">
        <x:v>2024-01-08T00:00:00.000Z</x:v>
      </x:c>
      <x:c r="J5" s="9" t="d">
        <x:v>2024-01-09T00:00:00.000Z</x:v>
      </x:c>
      <x:c r="K5" s="9" t="d">
        <x:v>2024-01-10T00:00:00.000Z</x:v>
      </x:c>
      <x:c r="L5" s="9" t="d">
        <x:v>2024-01-11T00:00:00.000Z</x:v>
      </x:c>
      <x:c r="M5" s="9" t="d">
        <x:v>2024-01-12T00:00:00.000Z</x:v>
      </x:c>
      <x:c r="N5" s="9" t="d">
        <x:v>2024-01-13T00:00:00.000Z</x:v>
      </x:c>
      <x:c r="O5" s="9" t="d">
        <x:v>2024-01-14T00:00:00.000Z</x:v>
      </x:c>
      <x:c r="P5" s="2"/>
      <x:c r="Q5" s="2"/>
      <x:c r="R5" s="2"/>
    </x:row>
    <x:row r="6" ht="23" customHeight="1">
      <x:c r="A6" s="2" t="str">
        <x:v>Dish A</x:v>
      </x:c>
      <x:c r="B6" s="13" t="n">
        <x:f>SUMIFS(Mapping!D$6:D$11,Mapping!$B$6:$B$11,$A6)</x:f>
        <x:v>27.5</x:v>
      </x:c>
      <x:c r="C6" s="13" t="n">
        <x:f>SUMIFS(Mapping!E$6:E$11,Mapping!$B$6:$B$11,$A6)</x:f>
        <x:v>38</x:v>
      </x:c>
      <x:c r="D6" s="13" t="n">
        <x:f>SUMIFS(Mapping!F$6:F$11,Mapping!$B$6:$B$11,$A6)</x:f>
        <x:v>31</x:v>
      </x:c>
      <x:c r="E6" s="13" t="n">
        <x:f>SUMIFS(Mapping!G$6:G$11,Mapping!$B$6:$B$11,$A6)</x:f>
        <x:v>34.5</x:v>
      </x:c>
      <x:c r="F6" s="13" t="n">
        <x:f>SUMIFS(Mapping!H$6:H$11,Mapping!$B$6:$B$11,$A6)</x:f>
        <x:v>34.5</x:v>
      </x:c>
      <x:c r="G6" s="13" t="n">
        <x:f>SUMIFS(Mapping!I$6:I$11,Mapping!$B$6:$B$11,$A6)</x:f>
        <x:v>31</x:v>
      </x:c>
      <x:c r="H6" s="13" t="n">
        <x:f>SUMIFS(Mapping!J$6:J$11,Mapping!$B$6:$B$11,$A6)</x:f>
        <x:v>41.5</x:v>
      </x:c>
      <x:c r="I6" s="13" t="n">
        <x:f>SUMIFS(Mapping!K$6:K$11,Mapping!$B$6:$B$11,$A6)</x:f>
        <x:v>27.5</x:v>
      </x:c>
      <x:c r="J6" s="13" t="n">
        <x:f>SUMIFS(Mapping!L$6:L$11,Mapping!$B$6:$B$11,$A6)</x:f>
        <x:v>38</x:v>
      </x:c>
      <x:c r="K6" s="13" t="n">
        <x:f>SUMIFS(Mapping!M$6:M$11,Mapping!$B$6:$B$11,$A6)</x:f>
        <x:v>31</x:v>
      </x:c>
      <x:c r="L6" s="13" t="n">
        <x:f>SUMIFS(Mapping!N$6:N$11,Mapping!$B$6:$B$11,$A6)</x:f>
        <x:v>34.5</x:v>
      </x:c>
      <x:c r="M6" s="13" t="n">
        <x:f>SUMIFS(Mapping!O$6:O$11,Mapping!$B$6:$B$11,$A6)</x:f>
        <x:v>34.5</x:v>
      </x:c>
      <x:c r="N6" s="13" t="n">
        <x:f>SUMIFS(Mapping!P$6:P$11,Mapping!$B$6:$B$11,$A6)</x:f>
        <x:v>31</x:v>
      </x:c>
      <x:c r="O6" s="13" t="n">
        <x:f>SUMIFS(Mapping!Q$6:Q$11,Mapping!$B$6:$B$11,$A6)</x:f>
        <x:v>41.5</x:v>
      </x:c>
      <x:c r="P6" s="2"/>
      <x:c r="Q6" s="2"/>
      <x:c r="R6" s="2"/>
    </x:row>
    <x:row r="7" ht="23" customHeight="1">
      <x:c r="A7" s="2" t="str">
        <x:v>Dish B</x:v>
      </x:c>
      <x:c r="B7" s="13" t="n">
        <x:f>SUMIFS(Mapping!D$6:D$11,Mapping!$B$6:$B$11,$A7)</x:f>
        <x:v>13</x:v>
      </x:c>
      <x:c r="C7" s="13" t="n">
        <x:f>SUMIFS(Mapping!E$6:E$11,Mapping!$B$6:$B$11,$A7)</x:f>
        <x:v>9</x:v>
      </x:c>
      <x:c r="D7" s="13" t="n">
        <x:f>SUMIFS(Mapping!F$6:F$11,Mapping!$B$6:$B$11,$A7)</x:f>
        <x:v>12</x:v>
      </x:c>
      <x:c r="E7" s="13" t="n">
        <x:f>SUMIFS(Mapping!G$6:G$11,Mapping!$B$6:$B$11,$A7)</x:f>
        <x:v>15</x:v>
      </x:c>
      <x:c r="F7" s="13" t="n">
        <x:f>SUMIFS(Mapping!H$6:H$11,Mapping!$B$6:$B$11,$A7)</x:f>
        <x:v>11</x:v>
      </x:c>
      <x:c r="G7" s="13" t="n">
        <x:f>SUMIFS(Mapping!I$6:I$11,Mapping!$B$6:$B$11,$A7)</x:f>
        <x:v>14</x:v>
      </x:c>
      <x:c r="H7" s="13" t="n">
        <x:f>SUMIFS(Mapping!J$6:J$11,Mapping!$B$6:$B$11,$A7)</x:f>
        <x:v>10</x:v>
      </x:c>
      <x:c r="I7" s="13" t="n">
        <x:f>SUMIFS(Mapping!K$6:K$11,Mapping!$B$6:$B$11,$A7)</x:f>
        <x:v>13</x:v>
      </x:c>
      <x:c r="J7" s="13" t="n">
        <x:f>SUMIFS(Mapping!L$6:L$11,Mapping!$B$6:$B$11,$A7)</x:f>
        <x:v>9</x:v>
      </x:c>
      <x:c r="K7" s="13" t="n">
        <x:f>SUMIFS(Mapping!M$6:M$11,Mapping!$B$6:$B$11,$A7)</x:f>
        <x:v>12</x:v>
      </x:c>
      <x:c r="L7" s="13" t="n">
        <x:f>SUMIFS(Mapping!N$6:N$11,Mapping!$B$6:$B$11,$A7)</x:f>
        <x:v>15</x:v>
      </x:c>
      <x:c r="M7" s="13" t="n">
        <x:f>SUMIFS(Mapping!O$6:O$11,Mapping!$B$6:$B$11,$A7)</x:f>
        <x:v>11</x:v>
      </x:c>
      <x:c r="N7" s="13" t="n">
        <x:f>SUMIFS(Mapping!P$6:P$11,Mapping!$B$6:$B$11,$A7)</x:f>
        <x:v>14</x:v>
      </x:c>
      <x:c r="O7" s="13" t="n">
        <x:f>SUMIFS(Mapping!Q$6:Q$11,Mapping!$B$6:$B$11,$A7)</x:f>
        <x:v>10</x:v>
      </x:c>
      <x:c r="P7" s="2"/>
      <x:c r="Q7" s="2"/>
      <x:c r="R7" s="2"/>
    </x:row>
    <x:row r="8" ht="23" customHeight="1">
      <x:c r="A8" s="2" t="str">
        <x:v>Dish C</x:v>
      </x:c>
      <x:c r="B8" s="13" t="n">
        <x:f>SUMIFS(Mapping!D$6:D$11,Mapping!$B$6:$B$11,$A8)</x:f>
        <x:v>18</x:v>
      </x:c>
      <x:c r="C8" s="13" t="n">
        <x:f>SUMIFS(Mapping!E$6:E$11,Mapping!$B$6:$B$11,$A8)</x:f>
        <x:v>17</x:v>
      </x:c>
      <x:c r="D8" s="13" t="n">
        <x:f>SUMIFS(Mapping!F$6:F$11,Mapping!$B$6:$B$11,$A8)</x:f>
        <x:v>16</x:v>
      </x:c>
      <x:c r="E8" s="13" t="n">
        <x:f>SUMIFS(Mapping!G$6:G$11,Mapping!$B$6:$B$11,$A8)</x:f>
        <x:v>15</x:v>
      </x:c>
      <x:c r="F8" s="13" t="n">
        <x:f>SUMIFS(Mapping!H$6:H$11,Mapping!$B$6:$B$11,$A8)</x:f>
        <x:v>21</x:v>
      </x:c>
      <x:c r="G8" s="13" t="n">
        <x:f>SUMIFS(Mapping!I$6:I$11,Mapping!$B$6:$B$11,$A8)</x:f>
        <x:v>13</x:v>
      </x:c>
      <x:c r="H8" s="13" t="n">
        <x:f>SUMIFS(Mapping!J$6:J$11,Mapping!$B$6:$B$11,$A8)</x:f>
        <x:v>19</x:v>
      </x:c>
      <x:c r="I8" s="13" t="n">
        <x:f>SUMIFS(Mapping!K$6:K$11,Mapping!$B$6:$B$11,$A8)</x:f>
        <x:v>18</x:v>
      </x:c>
      <x:c r="J8" s="13" t="n">
        <x:f>SUMIFS(Mapping!L$6:L$11,Mapping!$B$6:$B$11,$A8)</x:f>
        <x:v>17</x:v>
      </x:c>
      <x:c r="K8" s="13" t="n">
        <x:f>SUMIFS(Mapping!M$6:M$11,Mapping!$B$6:$B$11,$A8)</x:f>
        <x:v>16</x:v>
      </x:c>
      <x:c r="L8" s="13" t="n">
        <x:f>SUMIFS(Mapping!N$6:N$11,Mapping!$B$6:$B$11,$A8)</x:f>
        <x:v>15</x:v>
      </x:c>
      <x:c r="M8" s="13" t="n">
        <x:f>SUMIFS(Mapping!O$6:O$11,Mapping!$B$6:$B$11,$A8)</x:f>
        <x:v>21</x:v>
      </x:c>
      <x:c r="N8" s="13" t="n">
        <x:f>SUMIFS(Mapping!P$6:P$11,Mapping!$B$6:$B$11,$A8)</x:f>
        <x:v>13</x:v>
      </x:c>
      <x:c r="O8" s="13" t="n">
        <x:f>SUMIFS(Mapping!Q$6:Q$11,Mapping!$B$6:$B$11,$A8)</x:f>
        <x:v>19</x:v>
      </x:c>
      <x:c r="P8" s="2"/>
      <x:c r="Q8" s="2"/>
      <x:c r="R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</x:sheetData>
  <x:mergeCells>
    <x:mergeCell ref="A3:R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17" hidden="0" customWidth="1"/>
    <x:col min="4" max="4" width="1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3" t="str">
        <x:v>Invented recipe assumptions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5" customHeight="1">
      <x:c r="A5" s="8" t="str">
        <x:v>Component dish</x:v>
      </x:c>
      <x:c r="B5" s="8" t="str">
        <x:v>Ingredient</x:v>
      </x:c>
      <x:c r="C5" s="8" t="str">
        <x:v>Quantity per dish</x:v>
      </x:c>
      <x:c r="D5" s="8" t="str">
        <x:v>Unit</x:v>
      </x:c>
      <x:c r="E5" s="9" t="d">
        <x:v>2024-01-01T00:00:00.000Z</x:v>
      </x:c>
      <x:c r="F5" s="9" t="d">
        <x:v>2024-01-02T00:00:00.000Z</x:v>
      </x:c>
      <x:c r="G5" s="9" t="d">
        <x:v>2024-01-03T00:00:00.000Z</x:v>
      </x:c>
      <x:c r="H5" s="9" t="d">
        <x:v>2024-01-04T00:00:00.000Z</x:v>
      </x:c>
      <x:c r="I5" s="9" t="d">
        <x:v>2024-01-05T00:00:00.000Z</x:v>
      </x:c>
      <x:c r="J5" s="9" t="d">
        <x:v>2024-01-06T00:00:00.000Z</x:v>
      </x:c>
      <x:c r="K5" s="9" t="d">
        <x:v>2024-01-07T00:00:00.000Z</x:v>
      </x:c>
      <x:c r="L5" s="9" t="d">
        <x:v>2024-01-08T00:00:00.000Z</x:v>
      </x:c>
      <x:c r="M5" s="9" t="d">
        <x:v>2024-01-09T00:00:00.000Z</x:v>
      </x:c>
      <x:c r="N5" s="9" t="d">
        <x:v>2024-01-10T00:00:00.000Z</x:v>
      </x:c>
      <x:c r="O5" s="9" t="d">
        <x:v>2024-01-11T00:00:00.000Z</x:v>
      </x:c>
      <x:c r="P5" s="9" t="d">
        <x:v>2024-01-12T00:00:00.000Z</x:v>
      </x:c>
      <x:c r="Q5" s="9" t="d">
        <x:v>2024-01-13T00:00:00.000Z</x:v>
      </x:c>
      <x:c r="R5" s="9" t="d">
        <x:v>2024-01-14T00:00:00.000Z</x:v>
      </x:c>
    </x:row>
    <x:row r="6" ht="23" customHeight="1">
      <x:c r="A6" s="10" t="str">
        <x:v>Dish A</x:v>
      </x:c>
      <x:c r="B6" s="10" t="str">
        <x:v>Ingredient 01</x:v>
      </x:c>
      <x:c r="C6" s="14" t="n">
        <x:v>0.18</x:v>
      </x:c>
      <x:c r="D6" s="10" t="str">
        <x:v>kg</x:v>
      </x:c>
      <x:c r="E6" s="13" t="n">
        <x:f>INDEX(Canonical!B$6:B$8,MATCH($A6,Canonical!$A$6:$A$8,0))*$C6</x:f>
        <x:v>4.95</x:v>
      </x:c>
      <x:c r="F6" s="13" t="n">
        <x:f>INDEX(Canonical!C$6:C$8,MATCH($A6,Canonical!$A$6:$A$8,0))*$C6</x:f>
        <x:v>6.84</x:v>
      </x:c>
      <x:c r="G6" s="13" t="n">
        <x:f>INDEX(Canonical!D$6:D$8,MATCH($A6,Canonical!$A$6:$A$8,0))*$C6</x:f>
        <x:v>5.58</x:v>
      </x:c>
      <x:c r="H6" s="13" t="n">
        <x:f>INDEX(Canonical!E$6:E$8,MATCH($A6,Canonical!$A$6:$A$8,0))*$C6</x:f>
        <x:v>6.21</x:v>
      </x:c>
      <x:c r="I6" s="13" t="n">
        <x:f>INDEX(Canonical!F$6:F$8,MATCH($A6,Canonical!$A$6:$A$8,0))*$C6</x:f>
        <x:v>6.21</x:v>
      </x:c>
      <x:c r="J6" s="13" t="n">
        <x:f>INDEX(Canonical!G$6:G$8,MATCH($A6,Canonical!$A$6:$A$8,0))*$C6</x:f>
        <x:v>5.58</x:v>
      </x:c>
      <x:c r="K6" s="13" t="n">
        <x:f>INDEX(Canonical!H$6:H$8,MATCH($A6,Canonical!$A$6:$A$8,0))*$C6</x:f>
        <x:v>7.47</x:v>
      </x:c>
      <x:c r="L6" s="13" t="n">
        <x:f>INDEX(Canonical!I$6:I$8,MATCH($A6,Canonical!$A$6:$A$8,0))*$C6</x:f>
        <x:v>4.95</x:v>
      </x:c>
      <x:c r="M6" s="13" t="n">
        <x:f>INDEX(Canonical!J$6:J$8,MATCH($A6,Canonical!$A$6:$A$8,0))*$C6</x:f>
        <x:v>6.84</x:v>
      </x:c>
      <x:c r="N6" s="13" t="n">
        <x:f>INDEX(Canonical!K$6:K$8,MATCH($A6,Canonical!$A$6:$A$8,0))*$C6</x:f>
        <x:v>5.58</x:v>
      </x:c>
      <x:c r="O6" s="13" t="n">
        <x:f>INDEX(Canonical!L$6:L$8,MATCH($A6,Canonical!$A$6:$A$8,0))*$C6</x:f>
        <x:v>6.21</x:v>
      </x:c>
      <x:c r="P6" s="13" t="n">
        <x:f>INDEX(Canonical!M$6:M$8,MATCH($A6,Canonical!$A$6:$A$8,0))*$C6</x:f>
        <x:v>6.21</x:v>
      </x:c>
      <x:c r="Q6" s="13" t="n">
        <x:f>INDEX(Canonical!N$6:N$8,MATCH($A6,Canonical!$A$6:$A$8,0))*$C6</x:f>
        <x:v>5.58</x:v>
      </x:c>
      <x:c r="R6" s="13" t="n">
        <x:f>INDEX(Canonical!O$6:O$8,MATCH($A6,Canonical!$A$6:$A$8,0))*$C6</x:f>
        <x:v>7.47</x:v>
      </x:c>
    </x:row>
    <x:row r="7" ht="23" customHeight="1">
      <x:c r="A7" s="10" t="str">
        <x:v>Dish A</x:v>
      </x:c>
      <x:c r="B7" s="10" t="str">
        <x:v>Ingredient 02</x:v>
      </x:c>
      <x:c r="C7" s="14" t="n">
        <x:v>0.12</x:v>
      </x:c>
      <x:c r="D7" s="10" t="str">
        <x:v>kg</x:v>
      </x:c>
      <x:c r="E7" s="13" t="n">
        <x:f>INDEX(Canonical!B$6:B$8,MATCH($A7,Canonical!$A$6:$A$8,0))*$C7</x:f>
        <x:v>3.3</x:v>
      </x:c>
      <x:c r="F7" s="13" t="n">
        <x:f>INDEX(Canonical!C$6:C$8,MATCH($A7,Canonical!$A$6:$A$8,0))*$C7</x:f>
        <x:v>4.56</x:v>
      </x:c>
      <x:c r="G7" s="13" t="n">
        <x:f>INDEX(Canonical!D$6:D$8,MATCH($A7,Canonical!$A$6:$A$8,0))*$C7</x:f>
        <x:v>3.7199999999999998</x:v>
      </x:c>
      <x:c r="H7" s="13" t="n">
        <x:f>INDEX(Canonical!E$6:E$8,MATCH($A7,Canonical!$A$6:$A$8,0))*$C7</x:f>
        <x:v>4.14</x:v>
      </x:c>
      <x:c r="I7" s="13" t="n">
        <x:f>INDEX(Canonical!F$6:F$8,MATCH($A7,Canonical!$A$6:$A$8,0))*$C7</x:f>
        <x:v>4.14</x:v>
      </x:c>
      <x:c r="J7" s="13" t="n">
        <x:f>INDEX(Canonical!G$6:G$8,MATCH($A7,Canonical!$A$6:$A$8,0))*$C7</x:f>
        <x:v>3.7199999999999998</x:v>
      </x:c>
      <x:c r="K7" s="13" t="n">
        <x:f>INDEX(Canonical!H$6:H$8,MATCH($A7,Canonical!$A$6:$A$8,0))*$C7</x:f>
        <x:v>4.9799999999999995</x:v>
      </x:c>
      <x:c r="L7" s="13" t="n">
        <x:f>INDEX(Canonical!I$6:I$8,MATCH($A7,Canonical!$A$6:$A$8,0))*$C7</x:f>
        <x:v>3.3</x:v>
      </x:c>
      <x:c r="M7" s="13" t="n">
        <x:f>INDEX(Canonical!J$6:J$8,MATCH($A7,Canonical!$A$6:$A$8,0))*$C7</x:f>
        <x:v>4.56</x:v>
      </x:c>
      <x:c r="N7" s="13" t="n">
        <x:f>INDEX(Canonical!K$6:K$8,MATCH($A7,Canonical!$A$6:$A$8,0))*$C7</x:f>
        <x:v>3.7199999999999998</x:v>
      </x:c>
      <x:c r="O7" s="13" t="n">
        <x:f>INDEX(Canonical!L$6:L$8,MATCH($A7,Canonical!$A$6:$A$8,0))*$C7</x:f>
        <x:v>4.14</x:v>
      </x:c>
      <x:c r="P7" s="13" t="n">
        <x:f>INDEX(Canonical!M$6:M$8,MATCH($A7,Canonical!$A$6:$A$8,0))*$C7</x:f>
        <x:v>4.14</x:v>
      </x:c>
      <x:c r="Q7" s="13" t="n">
        <x:f>INDEX(Canonical!N$6:N$8,MATCH($A7,Canonical!$A$6:$A$8,0))*$C7</x:f>
        <x:v>3.7199999999999998</x:v>
      </x:c>
      <x:c r="R7" s="13" t="n">
        <x:f>INDEX(Canonical!O$6:O$8,MATCH($A7,Canonical!$A$6:$A$8,0))*$C7</x:f>
        <x:v>4.9799999999999995</x:v>
      </x:c>
    </x:row>
    <x:row r="8" ht="23" customHeight="1">
      <x:c r="A8" s="10" t="str">
        <x:v>Dish A</x:v>
      </x:c>
      <x:c r="B8" s="10" t="str">
        <x:v>Ingredient 03</x:v>
      </x:c>
      <x:c r="C8" s="14" t="n">
        <x:v>0.025</x:v>
      </x:c>
      <x:c r="D8" s="10" t="str">
        <x:v>liter</x:v>
      </x:c>
      <x:c r="E8" s="13" t="n">
        <x:f>INDEX(Canonical!B$6:B$8,MATCH($A8,Canonical!$A$6:$A$8,0))*$C8</x:f>
        <x:v>0.6875</x:v>
      </x:c>
      <x:c r="F8" s="13" t="n">
        <x:f>INDEX(Canonical!C$6:C$8,MATCH($A8,Canonical!$A$6:$A$8,0))*$C8</x:f>
        <x:v>0.9500000000000001</x:v>
      </x:c>
      <x:c r="G8" s="13" t="n">
        <x:f>INDEX(Canonical!D$6:D$8,MATCH($A8,Canonical!$A$6:$A$8,0))*$C8</x:f>
        <x:v>0.775</x:v>
      </x:c>
      <x:c r="H8" s="13" t="n">
        <x:f>INDEX(Canonical!E$6:E$8,MATCH($A8,Canonical!$A$6:$A$8,0))*$C8</x:f>
        <x:v>0.8625</x:v>
      </x:c>
      <x:c r="I8" s="13" t="n">
        <x:f>INDEX(Canonical!F$6:F$8,MATCH($A8,Canonical!$A$6:$A$8,0))*$C8</x:f>
        <x:v>0.8625</x:v>
      </x:c>
      <x:c r="J8" s="13" t="n">
        <x:f>INDEX(Canonical!G$6:G$8,MATCH($A8,Canonical!$A$6:$A$8,0))*$C8</x:f>
        <x:v>0.775</x:v>
      </x:c>
      <x:c r="K8" s="13" t="n">
        <x:f>INDEX(Canonical!H$6:H$8,MATCH($A8,Canonical!$A$6:$A$8,0))*$C8</x:f>
        <x:v>1.0375</x:v>
      </x:c>
      <x:c r="L8" s="13" t="n">
        <x:f>INDEX(Canonical!I$6:I$8,MATCH($A8,Canonical!$A$6:$A$8,0))*$C8</x:f>
        <x:v>0.6875</x:v>
      </x:c>
      <x:c r="M8" s="13" t="n">
        <x:f>INDEX(Canonical!J$6:J$8,MATCH($A8,Canonical!$A$6:$A$8,0))*$C8</x:f>
        <x:v>0.9500000000000001</x:v>
      </x:c>
      <x:c r="N8" s="13" t="n">
        <x:f>INDEX(Canonical!K$6:K$8,MATCH($A8,Canonical!$A$6:$A$8,0))*$C8</x:f>
        <x:v>0.775</x:v>
      </x:c>
      <x:c r="O8" s="13" t="n">
        <x:f>INDEX(Canonical!L$6:L$8,MATCH($A8,Canonical!$A$6:$A$8,0))*$C8</x:f>
        <x:v>0.8625</x:v>
      </x:c>
      <x:c r="P8" s="13" t="n">
        <x:f>INDEX(Canonical!M$6:M$8,MATCH($A8,Canonical!$A$6:$A$8,0))*$C8</x:f>
        <x:v>0.8625</x:v>
      </x:c>
      <x:c r="Q8" s="13" t="n">
        <x:f>INDEX(Canonical!N$6:N$8,MATCH($A8,Canonical!$A$6:$A$8,0))*$C8</x:f>
        <x:v>0.775</x:v>
      </x:c>
      <x:c r="R8" s="13" t="n">
        <x:f>INDEX(Canonical!O$6:O$8,MATCH($A8,Canonical!$A$6:$A$8,0))*$C8</x:f>
        <x:v>1.0375</x:v>
      </x:c>
    </x:row>
    <x:row r="9" ht="23" customHeight="1">
      <x:c r="A9" s="10" t="str">
        <x:v>Dish B</x:v>
      </x:c>
      <x:c r="B9" s="10" t="str">
        <x:v>Ingredient 01</x:v>
      </x:c>
      <x:c r="C9" s="14" t="n">
        <x:v>0.14</x:v>
      </x:c>
      <x:c r="D9" s="10" t="str">
        <x:v>kg</x:v>
      </x:c>
      <x:c r="E9" s="13" t="n">
        <x:f>INDEX(Canonical!B$6:B$8,MATCH($A9,Canonical!$A$6:$A$8,0))*$C9</x:f>
        <x:v>1.8200000000000003</x:v>
      </x:c>
      <x:c r="F9" s="13" t="n">
        <x:f>INDEX(Canonical!C$6:C$8,MATCH($A9,Canonical!$A$6:$A$8,0))*$C9</x:f>
        <x:v>1.2600000000000002</x:v>
      </x:c>
      <x:c r="G9" s="13" t="n">
        <x:f>INDEX(Canonical!D$6:D$8,MATCH($A9,Canonical!$A$6:$A$8,0))*$C9</x:f>
        <x:v>1.6800000000000002</x:v>
      </x:c>
      <x:c r="H9" s="13" t="n">
        <x:f>INDEX(Canonical!E$6:E$8,MATCH($A9,Canonical!$A$6:$A$8,0))*$C9</x:f>
        <x:v>2.1</x:v>
      </x:c>
      <x:c r="I9" s="13" t="n">
        <x:f>INDEX(Canonical!F$6:F$8,MATCH($A9,Canonical!$A$6:$A$8,0))*$C9</x:f>
        <x:v>1.54</x:v>
      </x:c>
      <x:c r="J9" s="13" t="n">
        <x:f>INDEX(Canonical!G$6:G$8,MATCH($A9,Canonical!$A$6:$A$8,0))*$C9</x:f>
        <x:v>1.9600000000000002</x:v>
      </x:c>
      <x:c r="K9" s="13" t="n">
        <x:f>INDEX(Canonical!H$6:H$8,MATCH($A9,Canonical!$A$6:$A$8,0))*$C9</x:f>
        <x:v>1.4000000000000001</x:v>
      </x:c>
      <x:c r="L9" s="13" t="n">
        <x:f>INDEX(Canonical!I$6:I$8,MATCH($A9,Canonical!$A$6:$A$8,0))*$C9</x:f>
        <x:v>1.8200000000000003</x:v>
      </x:c>
      <x:c r="M9" s="13" t="n">
        <x:f>INDEX(Canonical!J$6:J$8,MATCH($A9,Canonical!$A$6:$A$8,0))*$C9</x:f>
        <x:v>1.2600000000000002</x:v>
      </x:c>
      <x:c r="N9" s="13" t="n">
        <x:f>INDEX(Canonical!K$6:K$8,MATCH($A9,Canonical!$A$6:$A$8,0))*$C9</x:f>
        <x:v>1.6800000000000002</x:v>
      </x:c>
      <x:c r="O9" s="13" t="n">
        <x:f>INDEX(Canonical!L$6:L$8,MATCH($A9,Canonical!$A$6:$A$8,0))*$C9</x:f>
        <x:v>2.1</x:v>
      </x:c>
      <x:c r="P9" s="13" t="n">
        <x:f>INDEX(Canonical!M$6:M$8,MATCH($A9,Canonical!$A$6:$A$8,0))*$C9</x:f>
        <x:v>1.54</x:v>
      </x:c>
      <x:c r="Q9" s="13" t="n">
        <x:f>INDEX(Canonical!N$6:N$8,MATCH($A9,Canonical!$A$6:$A$8,0))*$C9</x:f>
        <x:v>1.9600000000000002</x:v>
      </x:c>
      <x:c r="R9" s="13" t="n">
        <x:f>INDEX(Canonical!O$6:O$8,MATCH($A9,Canonical!$A$6:$A$8,0))*$C9</x:f>
        <x:v>1.4000000000000001</x:v>
      </x:c>
    </x:row>
    <x:row r="10" ht="23" customHeight="1">
      <x:c r="A10" s="10" t="str">
        <x:v>Dish B</x:v>
      </x:c>
      <x:c r="B10" s="10" t="str">
        <x:v>Ingredient 02</x:v>
      </x:c>
      <x:c r="C10" s="14" t="n">
        <x:v>0.16</x:v>
      </x:c>
      <x:c r="D10" s="10" t="str">
        <x:v>kg</x:v>
      </x:c>
      <x:c r="E10" s="13" t="n">
        <x:f>INDEX(Canonical!B$6:B$8,MATCH($A10,Canonical!$A$6:$A$8,0))*$C10</x:f>
        <x:v>2.08</x:v>
      </x:c>
      <x:c r="F10" s="13" t="n">
        <x:f>INDEX(Canonical!C$6:C$8,MATCH($A10,Canonical!$A$6:$A$8,0))*$C10</x:f>
        <x:v>1.44</x:v>
      </x:c>
      <x:c r="G10" s="13" t="n">
        <x:f>INDEX(Canonical!D$6:D$8,MATCH($A10,Canonical!$A$6:$A$8,0))*$C10</x:f>
        <x:v>1.92</x:v>
      </x:c>
      <x:c r="H10" s="13" t="n">
        <x:f>INDEX(Canonical!E$6:E$8,MATCH($A10,Canonical!$A$6:$A$8,0))*$C10</x:f>
        <x:v>2.4</x:v>
      </x:c>
      <x:c r="I10" s="13" t="n">
        <x:f>INDEX(Canonical!F$6:F$8,MATCH($A10,Canonical!$A$6:$A$8,0))*$C10</x:f>
        <x:v>1.76</x:v>
      </x:c>
      <x:c r="J10" s="13" t="n">
        <x:f>INDEX(Canonical!G$6:G$8,MATCH($A10,Canonical!$A$6:$A$8,0))*$C10</x:f>
        <x:v>2.24</x:v>
      </x:c>
      <x:c r="K10" s="13" t="n">
        <x:f>INDEX(Canonical!H$6:H$8,MATCH($A10,Canonical!$A$6:$A$8,0))*$C10</x:f>
        <x:v>1.6</x:v>
      </x:c>
      <x:c r="L10" s="13" t="n">
        <x:f>INDEX(Canonical!I$6:I$8,MATCH($A10,Canonical!$A$6:$A$8,0))*$C10</x:f>
        <x:v>2.08</x:v>
      </x:c>
      <x:c r="M10" s="13" t="n">
        <x:f>INDEX(Canonical!J$6:J$8,MATCH($A10,Canonical!$A$6:$A$8,0))*$C10</x:f>
        <x:v>1.44</x:v>
      </x:c>
      <x:c r="N10" s="13" t="n">
        <x:f>INDEX(Canonical!K$6:K$8,MATCH($A10,Canonical!$A$6:$A$8,0))*$C10</x:f>
        <x:v>1.92</x:v>
      </x:c>
      <x:c r="O10" s="13" t="n">
        <x:f>INDEX(Canonical!L$6:L$8,MATCH($A10,Canonical!$A$6:$A$8,0))*$C10</x:f>
        <x:v>2.4</x:v>
      </x:c>
      <x:c r="P10" s="13" t="n">
        <x:f>INDEX(Canonical!M$6:M$8,MATCH($A10,Canonical!$A$6:$A$8,0))*$C10</x:f>
        <x:v>1.76</x:v>
      </x:c>
      <x:c r="Q10" s="13" t="n">
        <x:f>INDEX(Canonical!N$6:N$8,MATCH($A10,Canonical!$A$6:$A$8,0))*$C10</x:f>
        <x:v>2.24</x:v>
      </x:c>
      <x:c r="R10" s="13" t="n">
        <x:f>INDEX(Canonical!O$6:O$8,MATCH($A10,Canonical!$A$6:$A$8,0))*$C10</x:f>
        <x:v>1.6</x:v>
      </x:c>
    </x:row>
    <x:row r="11" ht="23" customHeight="1">
      <x:c r="A11" s="10" t="str">
        <x:v>Dish B</x:v>
      </x:c>
      <x:c r="B11" s="10" t="str">
        <x:v>Ingredient 03</x:v>
      </x:c>
      <x:c r="C11" s="14" t="n">
        <x:v>0.03</x:v>
      </x:c>
      <x:c r="D11" s="10" t="str">
        <x:v>liter</x:v>
      </x:c>
      <x:c r="E11" s="13" t="n">
        <x:f>INDEX(Canonical!B$6:B$8,MATCH($A11,Canonical!$A$6:$A$8,0))*$C11</x:f>
        <x:v>0.39</x:v>
      </x:c>
      <x:c r="F11" s="13" t="n">
        <x:f>INDEX(Canonical!C$6:C$8,MATCH($A11,Canonical!$A$6:$A$8,0))*$C11</x:f>
        <x:v>0.27</x:v>
      </x:c>
      <x:c r="G11" s="13" t="n">
        <x:f>INDEX(Canonical!D$6:D$8,MATCH($A11,Canonical!$A$6:$A$8,0))*$C11</x:f>
        <x:v>0.36</x:v>
      </x:c>
      <x:c r="H11" s="13" t="n">
        <x:f>INDEX(Canonical!E$6:E$8,MATCH($A11,Canonical!$A$6:$A$8,0))*$C11</x:f>
        <x:v>0.44999999999999996</x:v>
      </x:c>
      <x:c r="I11" s="13" t="n">
        <x:f>INDEX(Canonical!F$6:F$8,MATCH($A11,Canonical!$A$6:$A$8,0))*$C11</x:f>
        <x:v>0.32999999999999996</x:v>
      </x:c>
      <x:c r="J11" s="13" t="n">
        <x:f>INDEX(Canonical!G$6:G$8,MATCH($A11,Canonical!$A$6:$A$8,0))*$C11</x:f>
        <x:v>0.42</x:v>
      </x:c>
      <x:c r="K11" s="13" t="n">
        <x:f>INDEX(Canonical!H$6:H$8,MATCH($A11,Canonical!$A$6:$A$8,0))*$C11</x:f>
        <x:v>0.3</x:v>
      </x:c>
      <x:c r="L11" s="13" t="n">
        <x:f>INDEX(Canonical!I$6:I$8,MATCH($A11,Canonical!$A$6:$A$8,0))*$C11</x:f>
        <x:v>0.39</x:v>
      </x:c>
      <x:c r="M11" s="13" t="n">
        <x:f>INDEX(Canonical!J$6:J$8,MATCH($A11,Canonical!$A$6:$A$8,0))*$C11</x:f>
        <x:v>0.27</x:v>
      </x:c>
      <x:c r="N11" s="13" t="n">
        <x:f>INDEX(Canonical!K$6:K$8,MATCH($A11,Canonical!$A$6:$A$8,0))*$C11</x:f>
        <x:v>0.36</x:v>
      </x:c>
      <x:c r="O11" s="13" t="n">
        <x:f>INDEX(Canonical!L$6:L$8,MATCH($A11,Canonical!$A$6:$A$8,0))*$C11</x:f>
        <x:v>0.44999999999999996</x:v>
      </x:c>
      <x:c r="P11" s="13" t="n">
        <x:f>INDEX(Canonical!M$6:M$8,MATCH($A11,Canonical!$A$6:$A$8,0))*$C11</x:f>
        <x:v>0.32999999999999996</x:v>
      </x:c>
      <x:c r="Q11" s="13" t="n">
        <x:f>INDEX(Canonical!N$6:N$8,MATCH($A11,Canonical!$A$6:$A$8,0))*$C11</x:f>
        <x:v>0.42</x:v>
      </x:c>
      <x:c r="R11" s="13" t="n">
        <x:f>INDEX(Canonical!O$6:O$8,MATCH($A11,Canonical!$A$6:$A$8,0))*$C11</x:f>
        <x:v>0.3</x:v>
      </x:c>
    </x:row>
    <x:row r="12" ht="23" customHeight="1">
      <x:c r="A12" s="10" t="str">
        <x:v>Dish C</x:v>
      </x:c>
      <x:c r="B12" s="10" t="str">
        <x:v>Ingredient 04</x:v>
      </x:c>
      <x:c r="C12" s="14" t="n">
        <x:v>3</x:v>
      </x:c>
      <x:c r="D12" s="10" t="str">
        <x:v>piece</x:v>
      </x:c>
      <x:c r="E12" s="13" t="n">
        <x:f>INDEX(Canonical!B$6:B$8,MATCH($A12,Canonical!$A$6:$A$8,0))*$C12</x:f>
        <x:v>54</x:v>
      </x:c>
      <x:c r="F12" s="13" t="n">
        <x:f>INDEX(Canonical!C$6:C$8,MATCH($A12,Canonical!$A$6:$A$8,0))*$C12</x:f>
        <x:v>51</x:v>
      </x:c>
      <x:c r="G12" s="13" t="n">
        <x:f>INDEX(Canonical!D$6:D$8,MATCH($A12,Canonical!$A$6:$A$8,0))*$C12</x:f>
        <x:v>48</x:v>
      </x:c>
      <x:c r="H12" s="13" t="n">
        <x:f>INDEX(Canonical!E$6:E$8,MATCH($A12,Canonical!$A$6:$A$8,0))*$C12</x:f>
        <x:v>45</x:v>
      </x:c>
      <x:c r="I12" s="13" t="n">
        <x:f>INDEX(Canonical!F$6:F$8,MATCH($A12,Canonical!$A$6:$A$8,0))*$C12</x:f>
        <x:v>63</x:v>
      </x:c>
      <x:c r="J12" s="13" t="n">
        <x:f>INDEX(Canonical!G$6:G$8,MATCH($A12,Canonical!$A$6:$A$8,0))*$C12</x:f>
        <x:v>39</x:v>
      </x:c>
      <x:c r="K12" s="13" t="n">
        <x:f>INDEX(Canonical!H$6:H$8,MATCH($A12,Canonical!$A$6:$A$8,0))*$C12</x:f>
        <x:v>57</x:v>
      </x:c>
      <x:c r="L12" s="13" t="n">
        <x:f>INDEX(Canonical!I$6:I$8,MATCH($A12,Canonical!$A$6:$A$8,0))*$C12</x:f>
        <x:v>54</x:v>
      </x:c>
      <x:c r="M12" s="13" t="n">
        <x:f>INDEX(Canonical!J$6:J$8,MATCH($A12,Canonical!$A$6:$A$8,0))*$C12</x:f>
        <x:v>51</x:v>
      </x:c>
      <x:c r="N12" s="13" t="n">
        <x:f>INDEX(Canonical!K$6:K$8,MATCH($A12,Canonical!$A$6:$A$8,0))*$C12</x:f>
        <x:v>48</x:v>
      </x:c>
      <x:c r="O12" s="13" t="n">
        <x:f>INDEX(Canonical!L$6:L$8,MATCH($A12,Canonical!$A$6:$A$8,0))*$C12</x:f>
        <x:v>45</x:v>
      </x:c>
      <x:c r="P12" s="13" t="n">
        <x:f>INDEX(Canonical!M$6:M$8,MATCH($A12,Canonical!$A$6:$A$8,0))*$C12</x:f>
        <x:v>63</x:v>
      </x:c>
      <x:c r="Q12" s="13" t="n">
        <x:f>INDEX(Canonical!N$6:N$8,MATCH($A12,Canonical!$A$6:$A$8,0))*$C12</x:f>
        <x:v>39</x:v>
      </x:c>
      <x:c r="R12" s="13" t="n">
        <x:f>INDEX(Canonical!O$6:O$8,MATCH($A12,Canonical!$A$6:$A$8,0))*$C12</x:f>
        <x:v>57</x:v>
      </x:c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38" customHeight="1">
      <x:c r="A15" s="12" t="str">
        <x:v>All ingredient labels, portions and units are fictional examples. These are not restaurant recipes.</x:v>
      </x:c>
      <x:c r="B15" s="12"/>
      <x:c r="C15" s="12"/>
      <x:c r="D15" s="12"/>
      <x:c r="E15" s="12"/>
      <x:c r="F15" s="12"/>
      <x:c r="G15" s="12"/>
      <x:c r="H15" s="1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</x:sheetData>
  <x:mergeCells>
    <x:mergeCell ref="A3:R3"/>
    <x:mergeCell ref="A15:H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8" hidden="0" customWidth="1"/>
    <x:col min="18" max="18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3" t="str">
        <x:v>Estimated ingredient usage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5" customHeight="1">
      <x:c r="A5" s="8" t="str">
        <x:v>Ingredient</x:v>
      </x:c>
      <x:c r="B5" s="8" t="str">
        <x:v>Unit</x:v>
      </x:c>
      <x:c r="C5" s="9" t="d">
        <x:v>2024-01-01T00:00:00.000Z</x:v>
      </x:c>
      <x:c r="D5" s="9" t="d">
        <x:v>2024-01-02T00:00:00.000Z</x:v>
      </x:c>
      <x:c r="E5" s="9" t="d">
        <x:v>2024-01-03T00:00:00.000Z</x:v>
      </x:c>
      <x:c r="F5" s="9" t="d">
        <x:v>2024-01-04T00:00:00.000Z</x:v>
      </x:c>
      <x:c r="G5" s="9" t="d">
        <x:v>2024-01-05T00:00:00.000Z</x:v>
      </x:c>
      <x:c r="H5" s="9" t="d">
        <x:v>2024-01-06T00:00:00.000Z</x:v>
      </x:c>
      <x:c r="I5" s="9" t="d">
        <x:v>2024-01-07T00:00:00.000Z</x:v>
      </x:c>
      <x:c r="J5" s="9" t="d">
        <x:v>2024-01-08T00:00:00.000Z</x:v>
      </x:c>
      <x:c r="K5" s="9" t="d">
        <x:v>2024-01-09T00:00:00.000Z</x:v>
      </x:c>
      <x:c r="L5" s="9" t="d">
        <x:v>2024-01-10T00:00:00.000Z</x:v>
      </x:c>
      <x:c r="M5" s="9" t="d">
        <x:v>2024-01-11T00:00:00.000Z</x:v>
      </x:c>
      <x:c r="N5" s="9" t="d">
        <x:v>2024-01-12T00:00:00.000Z</x:v>
      </x:c>
      <x:c r="O5" s="9" t="d">
        <x:v>2024-01-13T00:00:00.000Z</x:v>
      </x:c>
      <x:c r="P5" s="9" t="d">
        <x:v>2024-01-14T00:00:00.000Z</x:v>
      </x:c>
      <x:c r="Q5" s="2"/>
      <x:c r="R5" s="2"/>
    </x:row>
    <x:row r="6" ht="23" customHeight="1">
      <x:c r="A6" s="2" t="str">
        <x:v>Ingredient 01</x:v>
      </x:c>
      <x:c r="B6" s="2" t="str">
        <x:v>kg</x:v>
      </x:c>
      <x:c r="C6" s="15" t="n">
        <x:f>SUMIFS(Recipes!E$6:E$12,Recipes!$B$6:$B$12,$A6)</x:f>
        <x:v>6.7700000000000005</x:v>
      </x:c>
      <x:c r="D6" s="15" t="n">
        <x:f>SUMIFS(Recipes!F$6:F$12,Recipes!$B$6:$B$12,$A6)</x:f>
        <x:v>8.1</x:v>
      </x:c>
      <x:c r="E6" s="15" t="n">
        <x:f>SUMIFS(Recipes!G$6:G$12,Recipes!$B$6:$B$12,$A6)</x:f>
        <x:v>7.26</x:v>
      </x:c>
      <x:c r="F6" s="15" t="n">
        <x:f>SUMIFS(Recipes!H$6:H$12,Recipes!$B$6:$B$12,$A6)</x:f>
        <x:v>8.31</x:v>
      </x:c>
      <x:c r="G6" s="15" t="n">
        <x:f>SUMIFS(Recipes!I$6:I$12,Recipes!$B$6:$B$12,$A6)</x:f>
        <x:v>7.75</x:v>
      </x:c>
      <x:c r="H6" s="15" t="n">
        <x:f>SUMIFS(Recipes!J$6:J$12,Recipes!$B$6:$B$12,$A6)</x:f>
        <x:v>7.54</x:v>
      </x:c>
      <x:c r="I6" s="15" t="n">
        <x:f>SUMIFS(Recipes!K$6:K$12,Recipes!$B$6:$B$12,$A6)</x:f>
        <x:v>8.87</x:v>
      </x:c>
      <x:c r="J6" s="15" t="n">
        <x:f>SUMIFS(Recipes!L$6:L$12,Recipes!$B$6:$B$12,$A6)</x:f>
        <x:v>6.7700000000000005</x:v>
      </x:c>
      <x:c r="K6" s="15" t="n">
        <x:f>SUMIFS(Recipes!M$6:M$12,Recipes!$B$6:$B$12,$A6)</x:f>
        <x:v>8.1</x:v>
      </x:c>
      <x:c r="L6" s="15" t="n">
        <x:f>SUMIFS(Recipes!N$6:N$12,Recipes!$B$6:$B$12,$A6)</x:f>
        <x:v>7.26</x:v>
      </x:c>
      <x:c r="M6" s="15" t="n">
        <x:f>SUMIFS(Recipes!O$6:O$12,Recipes!$B$6:$B$12,$A6)</x:f>
        <x:v>8.31</x:v>
      </x:c>
      <x:c r="N6" s="15" t="n">
        <x:f>SUMIFS(Recipes!P$6:P$12,Recipes!$B$6:$B$12,$A6)</x:f>
        <x:v>7.75</x:v>
      </x:c>
      <x:c r="O6" s="15" t="n">
        <x:f>SUMIFS(Recipes!Q$6:Q$12,Recipes!$B$6:$B$12,$A6)</x:f>
        <x:v>7.54</x:v>
      </x:c>
      <x:c r="P6" s="15" t="n">
        <x:f>SUMIFS(Recipes!R$6:R$12,Recipes!$B$6:$B$12,$A6)</x:f>
        <x:v>8.87</x:v>
      </x:c>
      <x:c r="Q6" s="2"/>
      <x:c r="R6" s="2"/>
    </x:row>
    <x:row r="7" ht="23" customHeight="1">
      <x:c r="A7" s="2" t="str">
        <x:v>Ingredient 02</x:v>
      </x:c>
      <x:c r="B7" s="2" t="str">
        <x:v>kg</x:v>
      </x:c>
      <x:c r="C7" s="15" t="n">
        <x:f>SUMIFS(Recipes!E$6:E$12,Recipes!$B$6:$B$12,$A7)</x:f>
        <x:v>5.38</x:v>
      </x:c>
      <x:c r="D7" s="15" t="n">
        <x:f>SUMIFS(Recipes!F$6:F$12,Recipes!$B$6:$B$12,$A7)</x:f>
        <x:v>6</x:v>
      </x:c>
      <x:c r="E7" s="15" t="n">
        <x:f>SUMIFS(Recipes!G$6:G$12,Recipes!$B$6:$B$12,$A7)</x:f>
        <x:v>5.64</x:v>
      </x:c>
      <x:c r="F7" s="15" t="n">
        <x:f>SUMIFS(Recipes!H$6:H$12,Recipes!$B$6:$B$12,$A7)</x:f>
        <x:v>6.539999999999999</x:v>
      </x:c>
      <x:c r="G7" s="15" t="n">
        <x:f>SUMIFS(Recipes!I$6:I$12,Recipes!$B$6:$B$12,$A7)</x:f>
        <x:v>5.8999999999999995</x:v>
      </x:c>
      <x:c r="H7" s="15" t="n">
        <x:f>SUMIFS(Recipes!J$6:J$12,Recipes!$B$6:$B$12,$A7)</x:f>
        <x:v>5.96</x:v>
      </x:c>
      <x:c r="I7" s="15" t="n">
        <x:f>SUMIFS(Recipes!K$6:K$12,Recipes!$B$6:$B$12,$A7)</x:f>
        <x:v>6.58</x:v>
      </x:c>
      <x:c r="J7" s="15" t="n">
        <x:f>SUMIFS(Recipes!L$6:L$12,Recipes!$B$6:$B$12,$A7)</x:f>
        <x:v>5.38</x:v>
      </x:c>
      <x:c r="K7" s="15" t="n">
        <x:f>SUMIFS(Recipes!M$6:M$12,Recipes!$B$6:$B$12,$A7)</x:f>
        <x:v>6</x:v>
      </x:c>
      <x:c r="L7" s="15" t="n">
        <x:f>SUMIFS(Recipes!N$6:N$12,Recipes!$B$6:$B$12,$A7)</x:f>
        <x:v>5.64</x:v>
      </x:c>
      <x:c r="M7" s="15" t="n">
        <x:f>SUMIFS(Recipes!O$6:O$12,Recipes!$B$6:$B$12,$A7)</x:f>
        <x:v>6.539999999999999</x:v>
      </x:c>
      <x:c r="N7" s="15" t="n">
        <x:f>SUMIFS(Recipes!P$6:P$12,Recipes!$B$6:$B$12,$A7)</x:f>
        <x:v>5.8999999999999995</x:v>
      </x:c>
      <x:c r="O7" s="15" t="n">
        <x:f>SUMIFS(Recipes!Q$6:Q$12,Recipes!$B$6:$B$12,$A7)</x:f>
        <x:v>5.96</x:v>
      </x:c>
      <x:c r="P7" s="15" t="n">
        <x:f>SUMIFS(Recipes!R$6:R$12,Recipes!$B$6:$B$12,$A7)</x:f>
        <x:v>6.58</x:v>
      </x:c>
      <x:c r="Q7" s="2"/>
      <x:c r="R7" s="2"/>
    </x:row>
    <x:row r="8" ht="23" customHeight="1">
      <x:c r="A8" s="2" t="str">
        <x:v>Ingredient 03</x:v>
      </x:c>
      <x:c r="B8" s="2" t="str">
        <x:v>liter</x:v>
      </x:c>
      <x:c r="C8" s="15" t="n">
        <x:f>SUMIFS(Recipes!E$6:E$12,Recipes!$B$6:$B$12,$A8)</x:f>
        <x:v>1.0775000000000001</x:v>
      </x:c>
      <x:c r="D8" s="15" t="n">
        <x:f>SUMIFS(Recipes!F$6:F$12,Recipes!$B$6:$B$12,$A8)</x:f>
        <x:v>1.2200000000000002</x:v>
      </x:c>
      <x:c r="E8" s="15" t="n">
        <x:f>SUMIFS(Recipes!G$6:G$12,Recipes!$B$6:$B$12,$A8)</x:f>
        <x:v>1.135</x:v>
      </x:c>
      <x:c r="F8" s="15" t="n">
        <x:f>SUMIFS(Recipes!H$6:H$12,Recipes!$B$6:$B$12,$A8)</x:f>
        <x:v>1.3125</x:v>
      </x:c>
      <x:c r="G8" s="15" t="n">
        <x:f>SUMIFS(Recipes!I$6:I$12,Recipes!$B$6:$B$12,$A8)</x:f>
        <x:v>1.1925</x:v>
      </x:c>
      <x:c r="H8" s="15" t="n">
        <x:f>SUMIFS(Recipes!J$6:J$12,Recipes!$B$6:$B$12,$A8)</x:f>
        <x:v>1.195</x:v>
      </x:c>
      <x:c r="I8" s="15" t="n">
        <x:f>SUMIFS(Recipes!K$6:K$12,Recipes!$B$6:$B$12,$A8)</x:f>
        <x:v>1.3375000000000001</x:v>
      </x:c>
      <x:c r="J8" s="15" t="n">
        <x:f>SUMIFS(Recipes!L$6:L$12,Recipes!$B$6:$B$12,$A8)</x:f>
        <x:v>1.0775000000000001</x:v>
      </x:c>
      <x:c r="K8" s="15" t="n">
        <x:f>SUMIFS(Recipes!M$6:M$12,Recipes!$B$6:$B$12,$A8)</x:f>
        <x:v>1.2200000000000002</x:v>
      </x:c>
      <x:c r="L8" s="15" t="n">
        <x:f>SUMIFS(Recipes!N$6:N$12,Recipes!$B$6:$B$12,$A8)</x:f>
        <x:v>1.135</x:v>
      </x:c>
      <x:c r="M8" s="15" t="n">
        <x:f>SUMIFS(Recipes!O$6:O$12,Recipes!$B$6:$B$12,$A8)</x:f>
        <x:v>1.3125</x:v>
      </x:c>
      <x:c r="N8" s="15" t="n">
        <x:f>SUMIFS(Recipes!P$6:P$12,Recipes!$B$6:$B$12,$A8)</x:f>
        <x:v>1.1925</x:v>
      </x:c>
      <x:c r="O8" s="15" t="n">
        <x:f>SUMIFS(Recipes!Q$6:Q$12,Recipes!$B$6:$B$12,$A8)</x:f>
        <x:v>1.195</x:v>
      </x:c>
      <x:c r="P8" s="15" t="n">
        <x:f>SUMIFS(Recipes!R$6:R$12,Recipes!$B$6:$B$12,$A8)</x:f>
        <x:v>1.3375000000000001</x:v>
      </x:c>
      <x:c r="Q8" s="2"/>
      <x:c r="R8" s="2"/>
    </x:row>
    <x:row r="9" ht="23" customHeight="1">
      <x:c r="A9" s="2" t="str">
        <x:v>Ingredient 04</x:v>
      </x:c>
      <x:c r="B9" s="2" t="str">
        <x:v>piece</x:v>
      </x:c>
      <x:c r="C9" s="15" t="n">
        <x:f>SUMIFS(Recipes!E$6:E$12,Recipes!$B$6:$B$12,$A9)</x:f>
        <x:v>54</x:v>
      </x:c>
      <x:c r="D9" s="15" t="n">
        <x:f>SUMIFS(Recipes!F$6:F$12,Recipes!$B$6:$B$12,$A9)</x:f>
        <x:v>51</x:v>
      </x:c>
      <x:c r="E9" s="15" t="n">
        <x:f>SUMIFS(Recipes!G$6:G$12,Recipes!$B$6:$B$12,$A9)</x:f>
        <x:v>48</x:v>
      </x:c>
      <x:c r="F9" s="15" t="n">
        <x:f>SUMIFS(Recipes!H$6:H$12,Recipes!$B$6:$B$12,$A9)</x:f>
        <x:v>45</x:v>
      </x:c>
      <x:c r="G9" s="15" t="n">
        <x:f>SUMIFS(Recipes!I$6:I$12,Recipes!$B$6:$B$12,$A9)</x:f>
        <x:v>63</x:v>
      </x:c>
      <x:c r="H9" s="15" t="n">
        <x:f>SUMIFS(Recipes!J$6:J$12,Recipes!$B$6:$B$12,$A9)</x:f>
        <x:v>39</x:v>
      </x:c>
      <x:c r="I9" s="15" t="n">
        <x:f>SUMIFS(Recipes!K$6:K$12,Recipes!$B$6:$B$12,$A9)</x:f>
        <x:v>57</x:v>
      </x:c>
      <x:c r="J9" s="15" t="n">
        <x:f>SUMIFS(Recipes!L$6:L$12,Recipes!$B$6:$B$12,$A9)</x:f>
        <x:v>54</x:v>
      </x:c>
      <x:c r="K9" s="15" t="n">
        <x:f>SUMIFS(Recipes!M$6:M$12,Recipes!$B$6:$B$12,$A9)</x:f>
        <x:v>51</x:v>
      </x:c>
      <x:c r="L9" s="15" t="n">
        <x:f>SUMIFS(Recipes!N$6:N$12,Recipes!$B$6:$B$12,$A9)</x:f>
        <x:v>48</x:v>
      </x:c>
      <x:c r="M9" s="15" t="n">
        <x:f>SUMIFS(Recipes!O$6:O$12,Recipes!$B$6:$B$12,$A9)</x:f>
        <x:v>45</x:v>
      </x:c>
      <x:c r="N9" s="15" t="n">
        <x:f>SUMIFS(Recipes!P$6:P$12,Recipes!$B$6:$B$12,$A9)</x:f>
        <x:v>63</x:v>
      </x:c>
      <x:c r="O9" s="15" t="n">
        <x:f>SUMIFS(Recipes!Q$6:Q$12,Recipes!$B$6:$B$12,$A9)</x:f>
        <x:v>39</x:v>
      </x:c>
      <x:c r="P9" s="15" t="n">
        <x:f>SUMIFS(Recipes!R$6:R$12,Recipes!$B$6:$B$12,$A9)</x:f>
        <x:v>57</x:v>
      </x:c>
      <x:c r="Q9" s="2"/>
      <x:c r="R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</x:sheetData>
  <x:mergeCells>
    <x:mergeCell ref="A3:R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Invented supplier pack conversions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5" customHeight="1">
      <x:c r="A5" s="8" t="str">
        <x:v>Ingredient</x:v>
      </x:c>
      <x:c r="B5" s="8" t="str">
        <x:v>Usage unit</x:v>
      </x:c>
      <x:c r="C5" s="8" t="str">
        <x:v>Units per case</x:v>
      </x:c>
      <x:c r="D5" s="8" t="str">
        <x:v>Case unit</x:v>
      </x:c>
      <x:c r="E5" s="8" t="str">
        <x:v>Supplier</x:v>
      </x:c>
      <x:c r="F5" s="2"/>
      <x:c r="G5" s="2"/>
      <x:c r="H5" s="2"/>
      <x:c r="I5" s="2"/>
      <x:c r="J5" s="2"/>
    </x:row>
    <x:row r="6" ht="23" customHeight="1">
      <x:c r="A6" s="2" t="str">
        <x:v>Ingredient 01</x:v>
      </x:c>
      <x:c r="B6" s="2" t="str">
        <x:v>kg</x:v>
      </x:c>
      <x:c r="C6" s="10" t="n">
        <x:v>4</x:v>
      </x:c>
      <x:c r="D6" s="10" t="str">
        <x:v>bag</x:v>
      </x:c>
      <x:c r="E6" s="10" t="str">
        <x:v>Supplier A</x:v>
      </x:c>
      <x:c r="F6" s="2"/>
      <x:c r="G6" s="2"/>
      <x:c r="H6" s="2"/>
      <x:c r="I6" s="2"/>
      <x:c r="J6" s="2"/>
    </x:row>
    <x:row r="7" ht="23" customHeight="1">
      <x:c r="A7" s="2" t="str">
        <x:v>Ingredient 02</x:v>
      </x:c>
      <x:c r="B7" s="2" t="str">
        <x:v>kg</x:v>
      </x:c>
      <x:c r="C7" s="10" t="n">
        <x:v>6</x:v>
      </x:c>
      <x:c r="D7" s="10" t="str">
        <x:v>box</x:v>
      </x:c>
      <x:c r="E7" s="10" t="str">
        <x:v>Supplier A</x:v>
      </x:c>
      <x:c r="F7" s="2"/>
      <x:c r="G7" s="2"/>
      <x:c r="H7" s="2"/>
      <x:c r="I7" s="2"/>
      <x:c r="J7" s="2"/>
    </x:row>
    <x:row r="8" ht="23" customHeight="1">
      <x:c r="A8" s="2" t="str">
        <x:v>Ingredient 03</x:v>
      </x:c>
      <x:c r="B8" s="2" t="str">
        <x:v>liter</x:v>
      </x:c>
      <x:c r="C8" s="10" t="n">
        <x:v>2</x:v>
      </x:c>
      <x:c r="D8" s="10" t="str">
        <x:v>jug</x:v>
      </x:c>
      <x:c r="E8" s="10" t="str">
        <x:v>Supplier B</x:v>
      </x:c>
      <x:c r="F8" s="2"/>
      <x:c r="G8" s="2"/>
      <x:c r="H8" s="2"/>
      <x:c r="I8" s="2"/>
      <x:c r="J8" s="2"/>
    </x:row>
    <x:row r="9" ht="23" customHeight="1">
      <x:c r="A9" s="2" t="str">
        <x:v>Ingredient 04</x:v>
      </x:c>
      <x:c r="B9" s="2" t="str">
        <x:v>piece</x:v>
      </x:c>
      <x:c r="C9" s="10" t="n">
        <x:v>30</x:v>
      </x:c>
      <x:c r="D9" s="10" t="str">
        <x:v>box</x:v>
      </x:c>
      <x:c r="E9" s="10" t="str">
        <x:v>Supplier B</x:v>
      </x:c>
      <x:c r="F9" s="2"/>
      <x:c r="G9" s="2"/>
      <x:c r="H9" s="2"/>
      <x:c r="I9" s="2"/>
      <x:c r="J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8" customHeight="1">
      <x:c r="A12" s="12" t="str">
        <x:v>Supplier names, package sizes and units are invented. Each ingredient uses one consistent usage unit.</x:v>
      </x:c>
      <x:c r="B12" s="12"/>
      <x:c r="C12" s="12"/>
      <x:c r="D12" s="12"/>
      <x:c r="E12" s="12"/>
      <x:c r="F12" s="12"/>
      <x:c r="G12" s="12"/>
      <x:c r="H12" s="2"/>
      <x:c r="I12" s="2"/>
      <x:c r="J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</x:sheetData>
  <x:mergeCells>
    <x:mergeCell ref="A3:J3"/>
    <x:mergeCell ref="A12:G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3" t="str">
        <x:v>Usage in supplier cases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5" customHeight="1">
      <x:c r="A5" s="8" t="str">
        <x:v>Ingredient</x:v>
      </x:c>
      <x:c r="B5" s="8" t="str">
        <x:v>Case unit</x:v>
      </x:c>
      <x:c r="C5" s="8" t="str">
        <x:v>Units per case</x:v>
      </x:c>
      <x:c r="D5" s="9" t="d">
        <x:v>2024-01-01T00:00:00.000Z</x:v>
      </x:c>
      <x:c r="E5" s="9" t="d">
        <x:v>2024-01-02T00:00:00.000Z</x:v>
      </x:c>
      <x:c r="F5" s="9" t="d">
        <x:v>2024-01-03T00:00:00.000Z</x:v>
      </x:c>
      <x:c r="G5" s="9" t="d">
        <x:v>2024-01-04T00:00:00.000Z</x:v>
      </x:c>
      <x:c r="H5" s="9" t="d">
        <x:v>2024-01-05T00:00:00.000Z</x:v>
      </x:c>
      <x:c r="I5" s="9" t="d">
        <x:v>2024-01-06T00:00:00.000Z</x:v>
      </x:c>
      <x:c r="J5" s="9" t="d">
        <x:v>2024-01-07T00:00:00.000Z</x:v>
      </x:c>
      <x:c r="K5" s="9" t="d">
        <x:v>2024-01-08T00:00:00.000Z</x:v>
      </x:c>
      <x:c r="L5" s="9" t="d">
        <x:v>2024-01-09T00:00:00.000Z</x:v>
      </x:c>
      <x:c r="M5" s="9" t="d">
        <x:v>2024-01-10T00:00:00.000Z</x:v>
      </x:c>
      <x:c r="N5" s="9" t="d">
        <x:v>2024-01-11T00:00:00.000Z</x:v>
      </x:c>
      <x:c r="O5" s="9" t="d">
        <x:v>2024-01-12T00:00:00.000Z</x:v>
      </x:c>
      <x:c r="P5" s="9" t="d">
        <x:v>2024-01-13T00:00:00.000Z</x:v>
      </x:c>
      <x:c r="Q5" s="9" t="d">
        <x:v>2024-01-14T00:00:00.000Z</x:v>
      </x:c>
      <x:c r="R5" s="2"/>
    </x:row>
    <x:row r="6" ht="23" customHeight="1">
      <x:c r="A6" s="13" t="str">
        <x:f>Packaging!A6</x:f>
        <x:v>Ingredient 01</x:v>
      </x:c>
      <x:c r="B6" s="13" t="str">
        <x:f>Packaging!D6</x:f>
        <x:v>bag</x:v>
      </x:c>
      <x:c r="C6" s="13" t="n">
        <x:f>Packaging!C6</x:f>
        <x:v>4</x:v>
      </x:c>
      <x:c r="D6" s="15" t="n">
        <x:f>Ingredients!C6/$C6</x:f>
        <x:v>1.6925000000000001</x:v>
      </x:c>
      <x:c r="E6" s="15" t="n">
        <x:f>Ingredients!D6/$C6</x:f>
        <x:v>2.025</x:v>
      </x:c>
      <x:c r="F6" s="15" t="n">
        <x:f>Ingredients!E6/$C6</x:f>
        <x:v>1.815</x:v>
      </x:c>
      <x:c r="G6" s="15" t="n">
        <x:f>Ingredients!F6/$C6</x:f>
        <x:v>2.0775</x:v>
      </x:c>
      <x:c r="H6" s="15" t="n">
        <x:f>Ingredients!G6/$C6</x:f>
        <x:v>1.9375</x:v>
      </x:c>
      <x:c r="I6" s="15" t="n">
        <x:f>Ingredients!H6/$C6</x:f>
        <x:v>1.885</x:v>
      </x:c>
      <x:c r="J6" s="15" t="n">
        <x:f>Ingredients!I6/$C6</x:f>
        <x:v>2.2175</x:v>
      </x:c>
      <x:c r="K6" s="15" t="n">
        <x:f>Ingredients!J6/$C6</x:f>
        <x:v>1.6925000000000001</x:v>
      </x:c>
      <x:c r="L6" s="15" t="n">
        <x:f>Ingredients!K6/$C6</x:f>
        <x:v>2.025</x:v>
      </x:c>
      <x:c r="M6" s="15" t="n">
        <x:f>Ingredients!L6/$C6</x:f>
        <x:v>1.815</x:v>
      </x:c>
      <x:c r="N6" s="15" t="n">
        <x:f>Ingredients!M6/$C6</x:f>
        <x:v>2.0775</x:v>
      </x:c>
      <x:c r="O6" s="15" t="n">
        <x:f>Ingredients!N6/$C6</x:f>
        <x:v>1.9375</x:v>
      </x:c>
      <x:c r="P6" s="15" t="n">
        <x:f>Ingredients!O6/$C6</x:f>
        <x:v>1.885</x:v>
      </x:c>
      <x:c r="Q6" s="15" t="n">
        <x:f>Ingredients!P6/$C6</x:f>
        <x:v>2.2175</x:v>
      </x:c>
      <x:c r="R6" s="2"/>
    </x:row>
    <x:row r="7" ht="23" customHeight="1">
      <x:c r="A7" s="13" t="str">
        <x:f>Packaging!A7</x:f>
        <x:v>Ingredient 02</x:v>
      </x:c>
      <x:c r="B7" s="13" t="str">
        <x:f>Packaging!D7</x:f>
        <x:v>box</x:v>
      </x:c>
      <x:c r="C7" s="13" t="n">
        <x:f>Packaging!C7</x:f>
        <x:v>6</x:v>
      </x:c>
      <x:c r="D7" s="15" t="n">
        <x:f>Ingredients!C7/$C7</x:f>
        <x:v>0.8966666666666666</x:v>
      </x:c>
      <x:c r="E7" s="15" t="n">
        <x:f>Ingredients!D7/$C7</x:f>
        <x:v>1</x:v>
      </x:c>
      <x:c r="F7" s="15" t="n">
        <x:f>Ingredients!E7/$C7</x:f>
        <x:v>0.94</x:v>
      </x:c>
      <x:c r="G7" s="15" t="n">
        <x:f>Ingredients!F7/$C7</x:f>
        <x:v>1.0899999999999999</x:v>
      </x:c>
      <x:c r="H7" s="15" t="n">
        <x:f>Ingredients!G7/$C7</x:f>
        <x:v>0.9833333333333333</x:v>
      </x:c>
      <x:c r="I7" s="15" t="n">
        <x:f>Ingredients!H7/$C7</x:f>
        <x:v>0.9933333333333333</x:v>
      </x:c>
      <x:c r="J7" s="15" t="n">
        <x:f>Ingredients!I7/$C7</x:f>
        <x:v>1.0966666666666667</x:v>
      </x:c>
      <x:c r="K7" s="15" t="n">
        <x:f>Ingredients!J7/$C7</x:f>
        <x:v>0.8966666666666666</x:v>
      </x:c>
      <x:c r="L7" s="15" t="n">
        <x:f>Ingredients!K7/$C7</x:f>
        <x:v>1</x:v>
      </x:c>
      <x:c r="M7" s="15" t="n">
        <x:f>Ingredients!L7/$C7</x:f>
        <x:v>0.94</x:v>
      </x:c>
      <x:c r="N7" s="15" t="n">
        <x:f>Ingredients!M7/$C7</x:f>
        <x:v>1.0899999999999999</x:v>
      </x:c>
      <x:c r="O7" s="15" t="n">
        <x:f>Ingredients!N7/$C7</x:f>
        <x:v>0.9833333333333333</x:v>
      </x:c>
      <x:c r="P7" s="15" t="n">
        <x:f>Ingredients!O7/$C7</x:f>
        <x:v>0.9933333333333333</x:v>
      </x:c>
      <x:c r="Q7" s="15" t="n">
        <x:f>Ingredients!P7/$C7</x:f>
        <x:v>1.0966666666666667</x:v>
      </x:c>
      <x:c r="R7" s="2"/>
    </x:row>
    <x:row r="8" ht="23" customHeight="1">
      <x:c r="A8" s="13" t="str">
        <x:f>Packaging!A8</x:f>
        <x:v>Ingredient 03</x:v>
      </x:c>
      <x:c r="B8" s="13" t="str">
        <x:f>Packaging!D8</x:f>
        <x:v>jug</x:v>
      </x:c>
      <x:c r="C8" s="13" t="n">
        <x:f>Packaging!C8</x:f>
        <x:v>2</x:v>
      </x:c>
      <x:c r="D8" s="15" t="n">
        <x:f>Ingredients!C8/$C8</x:f>
        <x:v>0.5387500000000001</x:v>
      </x:c>
      <x:c r="E8" s="15" t="n">
        <x:f>Ingredients!D8/$C8</x:f>
        <x:v>0.6100000000000001</x:v>
      </x:c>
      <x:c r="F8" s="15" t="n">
        <x:f>Ingredients!E8/$C8</x:f>
        <x:v>0.5675</x:v>
      </x:c>
      <x:c r="G8" s="15" t="n">
        <x:f>Ingredients!F8/$C8</x:f>
        <x:v>0.65625</x:v>
      </x:c>
      <x:c r="H8" s="15" t="n">
        <x:f>Ingredients!G8/$C8</x:f>
        <x:v>0.59625</x:v>
      </x:c>
      <x:c r="I8" s="15" t="n">
        <x:f>Ingredients!H8/$C8</x:f>
        <x:v>0.5975</x:v>
      </x:c>
      <x:c r="J8" s="15" t="n">
        <x:f>Ingredients!I8/$C8</x:f>
        <x:v>0.6687500000000001</x:v>
      </x:c>
      <x:c r="K8" s="15" t="n">
        <x:f>Ingredients!J8/$C8</x:f>
        <x:v>0.5387500000000001</x:v>
      </x:c>
      <x:c r="L8" s="15" t="n">
        <x:f>Ingredients!K8/$C8</x:f>
        <x:v>0.6100000000000001</x:v>
      </x:c>
      <x:c r="M8" s="15" t="n">
        <x:f>Ingredients!L8/$C8</x:f>
        <x:v>0.5675</x:v>
      </x:c>
      <x:c r="N8" s="15" t="n">
        <x:f>Ingredients!M8/$C8</x:f>
        <x:v>0.65625</x:v>
      </x:c>
      <x:c r="O8" s="15" t="n">
        <x:f>Ingredients!N8/$C8</x:f>
        <x:v>0.59625</x:v>
      </x:c>
      <x:c r="P8" s="15" t="n">
        <x:f>Ingredients!O8/$C8</x:f>
        <x:v>0.5975</x:v>
      </x:c>
      <x:c r="Q8" s="15" t="n">
        <x:f>Ingredients!P8/$C8</x:f>
        <x:v>0.6687500000000001</x:v>
      </x:c>
      <x:c r="R8" s="2"/>
    </x:row>
    <x:row r="9" ht="23" customHeight="1">
      <x:c r="A9" s="13" t="str">
        <x:f>Packaging!A9</x:f>
        <x:v>Ingredient 04</x:v>
      </x:c>
      <x:c r="B9" s="13" t="str">
        <x:f>Packaging!D9</x:f>
        <x:v>box</x:v>
      </x:c>
      <x:c r="C9" s="13" t="n">
        <x:f>Packaging!C9</x:f>
        <x:v>30</x:v>
      </x:c>
      <x:c r="D9" s="15" t="n">
        <x:f>Ingredients!C9/$C9</x:f>
        <x:v>1.8</x:v>
      </x:c>
      <x:c r="E9" s="15" t="n">
        <x:f>Ingredients!D9/$C9</x:f>
        <x:v>1.7</x:v>
      </x:c>
      <x:c r="F9" s="15" t="n">
        <x:f>Ingredients!E9/$C9</x:f>
        <x:v>1.6</x:v>
      </x:c>
      <x:c r="G9" s="15" t="n">
        <x:f>Ingredients!F9/$C9</x:f>
        <x:v>1.5</x:v>
      </x:c>
      <x:c r="H9" s="15" t="n">
        <x:f>Ingredients!G9/$C9</x:f>
        <x:v>2.1</x:v>
      </x:c>
      <x:c r="I9" s="15" t="n">
        <x:f>Ingredients!H9/$C9</x:f>
        <x:v>1.3</x:v>
      </x:c>
      <x:c r="J9" s="15" t="n">
        <x:f>Ingredients!I9/$C9</x:f>
        <x:v>1.9</x:v>
      </x:c>
      <x:c r="K9" s="15" t="n">
        <x:f>Ingredients!J9/$C9</x:f>
        <x:v>1.8</x:v>
      </x:c>
      <x:c r="L9" s="15" t="n">
        <x:f>Ingredients!K9/$C9</x:f>
        <x:v>1.7</x:v>
      </x:c>
      <x:c r="M9" s="15" t="n">
        <x:f>Ingredients!L9/$C9</x:f>
        <x:v>1.6</x:v>
      </x:c>
      <x:c r="N9" s="15" t="n">
        <x:f>Ingredients!M9/$C9</x:f>
        <x:v>1.5</x:v>
      </x:c>
      <x:c r="O9" s="15" t="n">
        <x:f>Ingredients!N9/$C9</x:f>
        <x:v>2.1</x:v>
      </x:c>
      <x:c r="P9" s="15" t="n">
        <x:f>Ingredients!O9/$C9</x:f>
        <x:v>1.3</x:v>
      </x:c>
      <x:c r="Q9" s="15" t="n">
        <x:f>Ingredients!P9/$C9</x:f>
        <x:v>1.9</x:v>
      </x:c>
      <x:c r="R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</x:sheetData>
  <x:mergeCells>
    <x:mergeCell ref="A3:R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Purchasing coverage assumptions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5" customHeight="1">
      <x:c r="A5" s="8" t="str">
        <x:v>Ingredient</x:v>
      </x:c>
      <x:c r="B5" s="8" t="str">
        <x:v>Order cycle days</x:v>
      </x:c>
      <x:c r="C5" s="8" t="str">
        <x:v>Lead time days</x:v>
      </x:c>
      <x:c r="D5" s="8" t="str">
        <x:v>Safety days</x:v>
      </x:c>
      <x:c r="E5" s="8" t="str">
        <x:v>Coverage days</x:v>
      </x:c>
      <x:c r="F5" s="2"/>
      <x:c r="G5" s="2"/>
      <x:c r="H5" s="2"/>
      <x:c r="I5" s="2"/>
      <x:c r="J5" s="2"/>
    </x:row>
    <x:row r="6" ht="23" customHeight="1">
      <x:c r="A6" s="13" t="str">
        <x:f>Packaging!A6</x:f>
        <x:v>Ingredient 01</x:v>
      </x:c>
      <x:c r="B6" s="16" t="n">
        <x:v>14</x:v>
      </x:c>
      <x:c r="C6" s="16" t="n">
        <x:v>2</x:v>
      </x:c>
      <x:c r="D6" s="16" t="n">
        <x:v>2</x:v>
      </x:c>
      <x:c r="E6" s="2" t="n">
        <x:f>SUM(B6:C6)</x:f>
        <x:v>16</x:v>
      </x:c>
      <x:c r="F6" s="2"/>
      <x:c r="G6" s="2"/>
      <x:c r="H6" s="2"/>
      <x:c r="I6" s="2"/>
      <x:c r="J6" s="2"/>
    </x:row>
    <x:row r="7" ht="23" customHeight="1">
      <x:c r="A7" s="13" t="str">
        <x:f>Packaging!A7</x:f>
        <x:v>Ingredient 02</x:v>
      </x:c>
      <x:c r="B7" s="16" t="n">
        <x:v>14</x:v>
      </x:c>
      <x:c r="C7" s="16" t="n">
        <x:v>2</x:v>
      </x:c>
      <x:c r="D7" s="16" t="n">
        <x:v>2</x:v>
      </x:c>
      <x:c r="E7" s="2" t="n">
        <x:f>SUM(B7:C7)</x:f>
        <x:v>16</x:v>
      </x:c>
      <x:c r="F7" s="2"/>
      <x:c r="G7" s="2"/>
      <x:c r="H7" s="2"/>
      <x:c r="I7" s="2"/>
      <x:c r="J7" s="2"/>
    </x:row>
    <x:row r="8" ht="23" customHeight="1">
      <x:c r="A8" s="13" t="str">
        <x:f>Packaging!A8</x:f>
        <x:v>Ingredient 03</x:v>
      </x:c>
      <x:c r="B8" s="16" t="n">
        <x:v>14</x:v>
      </x:c>
      <x:c r="C8" s="16" t="n">
        <x:v>2</x:v>
      </x:c>
      <x:c r="D8" s="16" t="n">
        <x:v>2</x:v>
      </x:c>
      <x:c r="E8" s="2" t="n">
        <x:f>SUM(B8:C8)</x:f>
        <x:v>16</x:v>
      </x:c>
      <x:c r="F8" s="2"/>
      <x:c r="G8" s="2"/>
      <x:c r="H8" s="2"/>
      <x:c r="I8" s="2"/>
      <x:c r="J8" s="2"/>
    </x:row>
    <x:row r="9" ht="23" customHeight="1">
      <x:c r="A9" s="13" t="str">
        <x:f>Packaging!A9</x:f>
        <x:v>Ingredient 04</x:v>
      </x:c>
      <x:c r="B9" s="16" t="n">
        <x:v>14</x:v>
      </x:c>
      <x:c r="C9" s="16" t="n">
        <x:v>2</x:v>
      </x:c>
      <x:c r="D9" s="16" t="n">
        <x:v>2</x:v>
      </x:c>
      <x:c r="E9" s="2" t="n">
        <x:f>SUM(B9:C9)</x:f>
        <x:v>16</x:v>
      </x:c>
      <x:c r="F9" s="2"/>
      <x:c r="G9" s="2"/>
      <x:c r="H9" s="2"/>
      <x:c r="I9" s="2"/>
      <x:c r="J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40" customHeight="1">
      <x:c r="A12" s="12" t="str">
        <x:v>Forecast horizon = order cycle plus supplier lead time. Safety stock is additional coverage. All policies are hypothetical.</x:v>
      </x:c>
      <x:c r="B12" s="12"/>
      <x:c r="C12" s="12"/>
      <x:c r="D12" s="12"/>
      <x:c r="E12" s="12"/>
      <x:c r="F12" s="12"/>
      <x:c r="G12" s="12"/>
      <x:c r="H12" s="2"/>
      <x:c r="I12" s="2"/>
      <x:c r="J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</x:sheetData>
  <x:mergeCells>
    <x:mergeCell ref="A3:J3"/>
    <x:mergeCell ref="A12:G1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Expected and counted inventory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5" customHeight="1">
      <x:c r="A5" s="8" t="str">
        <x:v>Ingredient</x:v>
      </x:c>
      <x:c r="B5" s="8" t="str">
        <x:v>Opening cases</x:v>
      </x:c>
      <x:c r="C5" s="8" t="str">
        <x:v>Confirmed receipts</x:v>
      </x:c>
      <x:c r="D5" s="8" t="str">
        <x:v>Estimated usage</x:v>
      </x:c>
      <x:c r="E5" s="8" t="str">
        <x:v>Waste cases</x:v>
      </x:c>
      <x:c r="F5" s="8" t="str">
        <x:v>Expected cases</x:v>
      </x:c>
      <x:c r="G5" s="8" t="str">
        <x:v>Physical count</x:v>
      </x:c>
      <x:c r="H5" s="8" t="str">
        <x:v>Count variance</x:v>
      </x:c>
      <x:c r="I5" s="8" t="str">
        <x:v>Confirmed inbound</x:v>
      </x:c>
      <x:c r="J5" s="2"/>
    </x:row>
    <x:row r="6" ht="23" customHeight="1">
      <x:c r="A6" s="13" t="str">
        <x:f>Packaging!A6</x:f>
        <x:v>Ingredient 01</x:v>
      </x:c>
      <x:c r="B6" s="17" t="n">
        <x:v>22</x:v>
      </x:c>
      <x:c r="C6" s="15" t="n">
        <x:f>SUMIFS(ReceivingLog!$B$6:$B$10,ReceivingLog!$A$6:$A$10,$A6,ReceivingLog!$C$6:$C$10,"Confirmed")</x:f>
        <x:v>30</x:v>
      </x:c>
      <x:c r="D6" s="15" t="n">
        <x:f>SUM(UsageCases!D6:Q6)</x:f>
        <x:v>27.300000000000004</x:v>
      </x:c>
      <x:c r="E6" s="17" t="n">
        <x:v>0.3</x:v>
      </x:c>
      <x:c r="F6" s="18" t="n">
        <x:f>SUM(B6:C6)-SUM(D6:E6)</x:f>
        <x:v>24.399999999999995</x:v>
      </x:c>
      <x:c r="G6" s="17" t="n">
        <x:v>18.4</x:v>
      </x:c>
      <x:c r="H6" s="18" t="n">
        <x:f>G6-F6</x:f>
        <x:v>-5.9999999999999964</x:v>
      </x:c>
      <x:c r="I6" s="17" t="n">
        <x:v>5</x:v>
      </x:c>
      <x:c r="J6" s="2"/>
    </x:row>
    <x:row r="7" ht="23" customHeight="1">
      <x:c r="A7" s="13" t="str">
        <x:f>Packaging!A7</x:f>
        <x:v>Ingredient 02</x:v>
      </x:c>
      <x:c r="B7" s="17" t="n">
        <x:v>18</x:v>
      </x:c>
      <x:c r="C7" s="15" t="n">
        <x:f>SUMIFS(ReceivingLog!$B$6:$B$10,ReceivingLog!$A$6:$A$10,$A7,ReceivingLog!$C$6:$C$10,"Confirmed")</x:f>
        <x:v>25</x:v>
      </x:c>
      <x:c r="D7" s="15" t="n">
        <x:f>SUM(UsageCases!D7:Q7)</x:f>
        <x:v>13.999999999999996</x:v>
      </x:c>
      <x:c r="E7" s="17" t="n">
        <x:v>0.2</x:v>
      </x:c>
      <x:c r="F7" s="18" t="n">
        <x:f>SUM(B7:C7)-SUM(D7:E7)</x:f>
        <x:v>28.800000000000004</x:v>
      </x:c>
      <x:c r="G7" s="17" t="n">
        <x:v>20.1</x:v>
      </x:c>
      <x:c r="H7" s="18" t="n">
        <x:f>G7-F7</x:f>
        <x:v>-8.700000000000003</x:v>
      </x:c>
      <x:c r="I7" s="17" t="n">
        <x:v>0</x:v>
      </x:c>
      <x:c r="J7" s="2"/>
    </x:row>
    <x:row r="8" ht="23" customHeight="1">
      <x:c r="A8" s="13" t="str">
        <x:f>Packaging!A8</x:f>
        <x:v>Ingredient 03</x:v>
      </x:c>
      <x:c r="B8" s="17" t="n">
        <x:v>7</x:v>
      </x:c>
      <x:c r="C8" s="15" t="n">
        <x:f>SUMIFS(ReceivingLog!$B$6:$B$10,ReceivingLog!$A$6:$A$10,$A8,ReceivingLog!$C$6:$C$10,"Confirmed")</x:f>
        <x:v>10</x:v>
      </x:c>
      <x:c r="D8" s="15" t="n">
        <x:f>SUM(UsageCases!D8:Q8)</x:f>
        <x:v>8.47</x:v>
      </x:c>
      <x:c r="E8" s="17" t="n">
        <x:v>0.1</x:v>
      </x:c>
      <x:c r="F8" s="18" t="n">
        <x:f>SUM(B8:C8)-SUM(D8:E8)</x:f>
        <x:v>8.43</x:v>
      </x:c>
      <x:c r="G8" s="17" t="n">
        <x:v>6.6</x:v>
      </x:c>
      <x:c r="H8" s="18" t="n">
        <x:f>G8-F8</x:f>
        <x:v>-1.83</x:v>
      </x:c>
      <x:c r="I8" s="17" t="n">
        <x:v>0</x:v>
      </x:c>
      <x:c r="J8" s="2"/>
    </x:row>
    <x:row r="9" ht="23" customHeight="1">
      <x:c r="A9" s="13" t="str">
        <x:f>Packaging!A9</x:f>
        <x:v>Ingredient 04</x:v>
      </x:c>
      <x:c r="B9" s="17" t="n">
        <x:v>25</x:v>
      </x:c>
      <x:c r="C9" s="15" t="n">
        <x:f>SUMIFS(ReceivingLog!$B$6:$B$10,ReceivingLog!$A$6:$A$10,$A9,ReceivingLog!$C$6:$C$10,"Confirmed")</x:f>
        <x:v>40</x:v>
      </x:c>
      <x:c r="D9" s="15" t="n">
        <x:f>SUM(UsageCases!D9:Q9)</x:f>
        <x:v>23.8</x:v>
      </x:c>
      <x:c r="E9" s="17" t="n">
        <x:v>0.2</x:v>
      </x:c>
      <x:c r="F9" s="18" t="n">
        <x:f>SUM(B9:C9)-SUM(D9:E9)</x:f>
        <x:v>41</x:v>
      </x:c>
      <x:c r="G9" s="17" t="n">
        <x:v>39.8</x:v>
      </x:c>
      <x:c r="H9" s="18" t="n">
        <x:f>G9-F9</x:f>
        <x:v>-1.2000000000000028</x:v>
      </x:c>
      <x:c r="I9" s="17" t="n">
        <x:v>0</x:v>
      </x:c>
      <x:c r="J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40" customHeight="1">
      <x:c r="A12" s="12" t="str">
        <x:v>Expected stock = opening + confirmed receipts - estimated usage - waste. Count variance requires reconciliation. All balances are synthetic.</x:v>
      </x:c>
      <x:c r="B12" s="12"/>
      <x:c r="C12" s="12"/>
      <x:c r="D12" s="12"/>
      <x:c r="E12" s="12"/>
      <x:c r="F12" s="12"/>
      <x:c r="G12" s="12"/>
      <x:c r="H12" s="12"/>
      <x:c r="I12" s="12"/>
      <x:c r="J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40" customHeight="1">
      <x:c r="A14" s="12" t="str">
        <x:v>Confirmed inbound is a separate future delivery within the coverage period. It is not included in current received stock.</x:v>
      </x:c>
      <x:c r="B14" s="12"/>
      <x:c r="C14" s="12"/>
      <x:c r="D14" s="12"/>
      <x:c r="E14" s="12"/>
      <x:c r="F14" s="12"/>
      <x:c r="G14" s="12"/>
      <x:c r="H14" s="12"/>
      <x:c r="I14" s="12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</x:sheetData>
  <x:mergeCells>
    <x:mergeCell ref="A3:J3"/>
    <x:mergeCell ref="A12:I12"/>
    <x:mergeCell ref="A14:I1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Fictional delivery confirmations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5" customHeight="1">
      <x:c r="A5" s="8" t="str">
        <x:v>Ingredient</x:v>
      </x:c>
      <x:c r="B5" s="8" t="str">
        <x:v>Cases received</x:v>
      </x:c>
      <x:c r="C5" s="8" t="str">
        <x:v>Status</x:v>
      </x:c>
      <x:c r="D5" s="8" t="str">
        <x:v>Event</x:v>
      </x:c>
      <x:c r="E5" s="2"/>
      <x:c r="F5" s="2"/>
      <x:c r="G5" s="2"/>
      <x:c r="H5" s="2"/>
      <x:c r="I5" s="2"/>
      <x:c r="J5" s="2"/>
    </x:row>
    <x:row r="6" ht="23" customHeight="1">
      <x:c r="A6" s="10" t="str">
        <x:v>Ingredient 01</x:v>
      </x:c>
      <x:c r="B6" s="10" t="n">
        <x:v>30</x:v>
      </x:c>
      <x:c r="C6" s="10" t="str">
        <x:v>Confirmed</x:v>
      </x:c>
      <x:c r="D6" s="10" t="str">
        <x:v>Delivery A</x:v>
      </x:c>
      <x:c r="E6" s="2"/>
      <x:c r="F6" s="2"/>
      <x:c r="G6" s="2"/>
      <x:c r="H6" s="2"/>
      <x:c r="I6" s="2"/>
      <x:c r="J6" s="2"/>
    </x:row>
    <x:row r="7" ht="23" customHeight="1">
      <x:c r="A7" s="10" t="str">
        <x:v>Ingredient 02</x:v>
      </x:c>
      <x:c r="B7" s="10" t="n">
        <x:v>25</x:v>
      </x:c>
      <x:c r="C7" s="10" t="str">
        <x:v>Confirmed</x:v>
      </x:c>
      <x:c r="D7" s="10" t="str">
        <x:v>Delivery A</x:v>
      </x:c>
      <x:c r="E7" s="2"/>
      <x:c r="F7" s="2"/>
      <x:c r="G7" s="2"/>
      <x:c r="H7" s="2"/>
      <x:c r="I7" s="2"/>
      <x:c r="J7" s="2"/>
    </x:row>
    <x:row r="8" ht="23" customHeight="1">
      <x:c r="A8" s="10" t="str">
        <x:v>Ingredient 03</x:v>
      </x:c>
      <x:c r="B8" s="10" t="n">
        <x:v>10</x:v>
      </x:c>
      <x:c r="C8" s="10" t="str">
        <x:v>Confirmed</x:v>
      </x:c>
      <x:c r="D8" s="10" t="str">
        <x:v>Delivery B</x:v>
      </x:c>
      <x:c r="E8" s="2"/>
      <x:c r="F8" s="2"/>
      <x:c r="G8" s="2"/>
      <x:c r="H8" s="2"/>
      <x:c r="I8" s="2"/>
      <x:c r="J8" s="2"/>
    </x:row>
    <x:row r="9" ht="23" customHeight="1">
      <x:c r="A9" s="10" t="str">
        <x:v>Ingredient 04</x:v>
      </x:c>
      <x:c r="B9" s="10" t="n">
        <x:v>40</x:v>
      </x:c>
      <x:c r="C9" s="10" t="str">
        <x:v>Confirmed</x:v>
      </x:c>
      <x:c r="D9" s="10" t="str">
        <x:v>Delivery B</x:v>
      </x:c>
      <x:c r="E9" s="2"/>
      <x:c r="F9" s="2"/>
      <x:c r="G9" s="2"/>
      <x:c r="H9" s="2"/>
      <x:c r="I9" s="2"/>
      <x:c r="J9" s="2"/>
    </x:row>
    <x:row r="10" ht="23" customHeight="1">
      <x:c r="A10" s="10" t="str">
        <x:v>Ingredient 01</x:v>
      </x:c>
      <x:c r="B10" s="10" t="n">
        <x:v>5</x:v>
      </x:c>
      <x:c r="C10" s="10" t="str">
        <x:v>Pending</x:v>
      </x:c>
      <x:c r="D10" s="10" t="str">
        <x:v>Delivery C</x:v>
      </x:c>
      <x:c r="E10" s="2"/>
      <x:c r="F10" s="2"/>
      <x:c r="G10" s="2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40" customHeight="1">
      <x:c r="A13" s="12" t="str">
        <x:v>Pending deliveries do not enter stock. Each receipt is a fictional physical delivery, not an assumed purchase recommendation.</x:v>
      </x:c>
      <x:c r="B13" s="12"/>
      <x:c r="C13" s="12"/>
      <x:c r="D13" s="12"/>
      <x:c r="E13" s="12"/>
      <x:c r="F13" s="12"/>
      <x:c r="G13" s="12"/>
      <x:c r="H13" s="2"/>
      <x:c r="I13" s="2"/>
      <x:c r="J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</x:sheetData>
  <x:mergeCells>
    <x:mergeCell ref="A3:J3"/>
    <x:mergeCell ref="A13:G13"/>
  </x:mergeCells>
  <x:dataValidations count="1">
    <x:dataValidation type="list" sqref="C6:C10">
      <x:formula1>"Confirmed,Pending"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Forecast evaluation example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4" t="str">
        <x:v>Fictional demonstration data. All figures and business identifiers are invented.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5" customHeight="1">
      <x:c r="A5" s="8" t="str">
        <x:v>Ingredient</x:v>
      </x:c>
      <x:c r="B5" s="8" t="str">
        <x:v>Saved forecast</x:v>
      </x:c>
      <x:c r="C5" s="8" t="str">
        <x:v>Observed usage</x:v>
      </x:c>
      <x:c r="D5" s="8" t="str">
        <x:v>Absolute error</x:v>
      </x:c>
      <x:c r="E5" s="8" t="str">
        <x:v>WAPE</x:v>
      </x:c>
      <x:c r="F5" s="2"/>
      <x:c r="G5" s="2"/>
      <x:c r="H5" s="2"/>
      <x:c r="I5" s="2"/>
      <x:c r="J5" s="2"/>
    </x:row>
    <x:row r="6" ht="23" customHeight="1">
      <x:c r="A6" s="2" t="str">
        <x:v>Ingredient 01</x:v>
      </x:c>
      <x:c r="B6" s="17" t="n">
        <x:v>14</x:v>
      </x:c>
      <x:c r="C6" s="17" t="n">
        <x:v>15</x:v>
      </x:c>
      <x:c r="D6" s="18" t="n">
        <x:f>ABS(B6-C6)</x:f>
        <x:v>1</x:v>
      </x:c>
      <x:c r="E6" s="23" t="n">
        <x:f>IF(C6=0,"n.a.",D6/C6)</x:f>
        <x:v>0.06666666666666667</x:v>
      </x:c>
      <x:c r="F6" s="2"/>
      <x:c r="G6" s="2"/>
      <x:c r="H6" s="2"/>
      <x:c r="I6" s="2"/>
      <x:c r="J6" s="2"/>
    </x:row>
    <x:row r="7" ht="23" customHeight="1">
      <x:c r="A7" s="2" t="str">
        <x:v>Ingredient 02</x:v>
      </x:c>
      <x:c r="B7" s="17" t="n">
        <x:v>11</x:v>
      </x:c>
      <x:c r="C7" s="17" t="n">
        <x:v>10</x:v>
      </x:c>
      <x:c r="D7" s="18" t="n">
        <x:f>ABS(B7-C7)</x:f>
        <x:v>1</x:v>
      </x:c>
      <x:c r="E7" s="23" t="n">
        <x:f>IF(C7=0,"n.a.",D7/C7)</x:f>
        <x:v>0.1</x:v>
      </x:c>
      <x:c r="F7" s="2"/>
      <x:c r="G7" s="2"/>
      <x:c r="H7" s="2"/>
      <x:c r="I7" s="2"/>
      <x:c r="J7" s="2"/>
    </x:row>
    <x:row r="8" ht="23" customHeight="1">
      <x:c r="A8" s="2" t="str">
        <x:v>Ingredient 03</x:v>
      </x:c>
      <x:c r="B8" s="17" t="n">
        <x:v>4</x:v>
      </x:c>
      <x:c r="C8" s="17" t="n">
        <x:v>4.5</x:v>
      </x:c>
      <x:c r="D8" s="18" t="n">
        <x:f>ABS(B8-C8)</x:f>
        <x:v>0.5</x:v>
      </x:c>
      <x:c r="E8" s="23" t="n">
        <x:f>IF(C8=0,"n.a.",D8/C8)</x:f>
        <x:v>0.1111111111111111</x:v>
      </x:c>
      <x:c r="F8" s="2"/>
      <x:c r="G8" s="2"/>
      <x:c r="H8" s="2"/>
      <x:c r="I8" s="2"/>
      <x:c r="J8" s="2"/>
    </x:row>
    <x:row r="9" ht="23" customHeight="1">
      <x:c r="A9" s="2" t="str">
        <x:v>Ingredient 04</x:v>
      </x:c>
      <x:c r="B9" s="17" t="n">
        <x:v>18</x:v>
      </x:c>
      <x:c r="C9" s="17" t="n">
        <x:v>17</x:v>
      </x:c>
      <x:c r="D9" s="18" t="n">
        <x:f>ABS(B9-C9)</x:f>
        <x:v>1</x:v>
      </x:c>
      <x:c r="E9" s="23" t="n">
        <x:f>IF(C9=0,"n.a.",D9/C9)</x:f>
        <x:v>0.058823529411764705</x:v>
      </x:c>
      <x:c r="F9" s="2"/>
      <x:c r="G9" s="2"/>
      <x:c r="H9" s="2"/>
      <x:c r="I9" s="2"/>
      <x:c r="J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42" customHeight="1">
      <x:c r="A12" s="12" t="str">
        <x:v>Fictional saved forecasts and observed usage, in cases. WAPE is shown separately per ingredient. Do not add unlike ingredients into one error percentage.</x:v>
      </x:c>
      <x:c r="B12" s="12"/>
      <x:c r="C12" s="12"/>
      <x:c r="D12" s="12"/>
      <x:c r="E12" s="12"/>
      <x:c r="F12" s="12"/>
      <x:c r="G12" s="12"/>
      <x:c r="H12" s="2"/>
      <x:c r="I12" s="2"/>
      <x:c r="J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42" customHeight="1">
      <x:c r="A15" s="12" t="str">
        <x:v>A real evaluation requires forecasts saved before the period and usage validated against physical counts. No achieved accuracy improvement is claimed.</x:v>
      </x:c>
      <x:c r="B15" s="12"/>
      <x:c r="C15" s="12"/>
      <x:c r="D15" s="12"/>
      <x:c r="E15" s="12"/>
      <x:c r="F15" s="12"/>
      <x:c r="G15" s="12"/>
      <x:c r="H15" s="2"/>
      <x:c r="I15" s="2"/>
      <x:c r="J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</x:sheetData>
  <x:mergeCells>
    <x:mergeCell ref="A3:J3"/>
    <x:mergeCell ref="A12:G12"/>
    <x:mergeCell ref="A15:G15"/>
  </x:mergeCells>
  <x:pageMargins left="0.7" right="0.7" top="0.75" bottom="0.75" header="0.3" footer="0.3"/>
</x:worksheet>
</file>