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69b3c839f34b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etplace Scenarios" sheetId="1" r:id="R8f9388b1a2694a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$#,##0;($#,##0);&quot;-&quot;"/>
  </x:numFmts>
  <x:fonts count="8">
    <x:font>
      <x:sz val="11"/>
      <x:name val="Carlito"/>
    </x:font>
    <x:font>
      <x:sz val="11"/>
      <x:color rgb="FF202B28"/>
      <x:name val="Calibri"/>
    </x:font>
    <x:font>
      <x:b/>
      <x:sz val="16"/>
      <x:color rgb="FF234D40"/>
      <x:name val="Calibri"/>
    </x:font>
    <x:font>
      <x:i/>
      <x:sz val="10"/>
      <x:color rgb="FF59675F"/>
      <x:name val="Calibri"/>
    </x:font>
    <x:font>
      <x:b/>
      <x:sz val="11"/>
      <x:color rgb="FFFFFFFF"/>
      <x:name val="Calibri"/>
    </x:font>
    <x:font>
      <x:sz val="11"/>
      <x:color rgb="FF1D4ED8"/>
      <x:name val="Calibri"/>
    </x:font>
    <x:font>
      <x:b/>
      <x:sz val="11"/>
      <x:color rgb="FF202B28"/>
      <x:name val="Calibri"/>
    </x:font>
    <x:font>
      <x:sz val="10"/>
      <x:color rgb="FF59675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234D40"/>
      </x:patternFill>
    </x:fill>
    <x:fill>
      <x:patternFill patternType="solid">
        <x:fgColor rgb="FFFFF1C9"/>
      </x:patternFill>
    </x:fill>
    <x:fill>
      <x:patternFill patternType="solid">
        <x:fgColor rgb="FFF8F6F0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234D40"/>
      </x:bottom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201" fontId="6" fillId="4" borderId="0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 applyAlignment="1">
      <x:alignment vertical="center"/>
    </x:xf>
    <x:xf numFmtId="201" fontId="6" fillId="4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9bde667dd0429f" /><Relationship Type="http://schemas.openxmlformats.org/officeDocument/2006/relationships/theme" Target="/xl/theme/theme1.xml" Id="R6c6dc3818cfa411e" /><Relationship Type="http://schemas.openxmlformats.org/officeDocument/2006/relationships/sharedStrings" Target="/xl/sharedStrings.xml" Id="Rb23b774552a94ad8" /><Relationship Type="http://schemas.openxmlformats.org/officeDocument/2006/relationships/worksheet" Target="/xl/worksheets/sheet1.xml" Id="R8f9388b1a2694a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3" customHeight="1">
      <x:c r="A1" s="2"/>
      <x:c r="B1" s="2"/>
      <x:c r="C1" s="2"/>
      <x:c r="D1" s="2"/>
      <x:c r="E1" s="2"/>
    </x:row>
    <x:row r="2" ht="23" customHeight="1">
      <x:c r="A2" s="3" t="str">
        <x:v>Marketplace savings scenarios</x:v>
      </x:c>
      <x:c r="B2" s="2"/>
      <x:c r="C2" s="2"/>
      <x:c r="D2" s="2"/>
      <x:c r="E2" s="2"/>
    </x:row>
    <x:row r="3" ht="28" customHeight="1">
      <x:c r="A3" s="4" t="str">
        <x:v>Fictional demonstration data. All figures and business identifiers are invented.</x:v>
      </x:c>
      <x:c r="B3" s="4"/>
      <x:c r="C3" s="4"/>
      <x:c r="D3" s="4"/>
      <x:c r="E3" s="4"/>
    </x:row>
    <x:row r="4" ht="23" customHeight="1">
      <x:c r="A4" s="2"/>
      <x:c r="B4" s="2"/>
      <x:c r="C4" s="2"/>
      <x:c r="D4" s="2"/>
      <x:c r="E4" s="2"/>
    </x:row>
    <x:row r="5" ht="35" customHeight="1">
      <x:c r="A5" s="8" t="str">
        <x:v>Metric</x:v>
      </x:c>
      <x:c r="B5" s="8" t="str">
        <x:v>0% shift</x:v>
      </x:c>
      <x:c r="C5" s="8" t="str">
        <x:v>5% shift</x:v>
      </x:c>
      <x:c r="D5" s="8" t="str">
        <x:v>10% shift</x:v>
      </x:c>
      <x:c r="E5" s="8" t="str">
        <x:v>15% shift</x:v>
      </x:c>
    </x:row>
    <x:row r="6" ht="23" customHeight="1">
      <x:c r="A6" s="2" t="str">
        <x:v>Share of marketplace sales shifted</x:v>
      </x:c>
      <x:c r="B6" s="11" t="n">
        <x:v>0</x:v>
      </x:c>
      <x:c r="C6" s="11" t="n">
        <x:v>0.05</x:v>
      </x:c>
      <x:c r="D6" s="11" t="n">
        <x:v>0.1</x:v>
      </x:c>
      <x:c r="E6" s="11" t="n">
        <x:v>0.15</x:v>
      </x:c>
    </x:row>
    <x:row r="7" ht="23" customHeight="1">
      <x:c r="A7" s="2" t="str">
        <x:v>Sales transferred to direct</x:v>
      </x:c>
      <x:c r="B7" s="12" t="n">
        <x:f>$B$26*B6</x:f>
        <x:v>0</x:v>
      </x:c>
      <x:c r="C7" s="12" t="n">
        <x:f>$B$26*C6</x:f>
        <x:v>7256</x:v>
      </x:c>
      <x:c r="D7" s="12" t="n">
        <x:f>$B$26*D6</x:f>
        <x:v>14512</x:v>
      </x:c>
      <x:c r="E7" s="12" t="n">
        <x:f>$B$26*E6</x:f>
        <x:v>21768</x:v>
      </x:c>
    </x:row>
    <x:row r="8" ht="23" customHeight="1">
      <x:c r="A8" s="2" t="str">
        <x:v>Remaining marketplace sales</x:v>
      </x:c>
      <x:c r="B8" s="12" t="n">
        <x:f>$B$26-B7</x:f>
        <x:v>145120</x:v>
      </x:c>
      <x:c r="C8" s="12" t="n">
        <x:f>$B$26-C7</x:f>
        <x:v>137864</x:v>
      </x:c>
      <x:c r="D8" s="12" t="n">
        <x:f>$B$26-D7</x:f>
        <x:v>130608</x:v>
      </x:c>
      <x:c r="E8" s="12" t="n">
        <x:f>$B$26-E7</x:f>
        <x:v>123352</x:v>
      </x:c>
    </x:row>
    <x:row r="9" ht="23" customHeight="1">
      <x:c r="A9" s="2" t="str">
        <x:v>Direct website sales after transfer</x:v>
      </x:c>
      <x:c r="B9" s="12" t="n">
        <x:f>$B$27+B7</x:f>
        <x:v>23300</x:v>
      </x:c>
      <x:c r="C9" s="12" t="n">
        <x:f>$B$27+C7</x:f>
        <x:v>30556</x:v>
      </x:c>
      <x:c r="D9" s="12" t="n">
        <x:f>$B$27+D7</x:f>
        <x:v>37812</x:v>
      </x:c>
      <x:c r="E9" s="12" t="n">
        <x:f>$B$27+E7</x:f>
        <x:v>45068</x:v>
      </x:c>
    </x:row>
    <x:row r="10" ht="23" customHeight="1">
      <x:c r="A10" s="2" t="str">
        <x:v>Total sales (held constant)</x:v>
      </x:c>
      <x:c r="B10" s="12" t="n">
        <x:f>$B$25</x:f>
        <x:v>291300</x:v>
      </x:c>
      <x:c r="C10" s="12" t="n">
        <x:f>$B$25</x:f>
        <x:v>291300</x:v>
      </x:c>
      <x:c r="D10" s="12" t="n">
        <x:f>$B$25</x:f>
        <x:v>291300</x:v>
      </x:c>
      <x:c r="E10" s="12" t="n">
        <x:f>$B$25</x:f>
        <x:v>291300</x:v>
      </x:c>
    </x:row>
    <x:row r="11" ht="23" customHeight="1">
      <x:c r="A11" s="2"/>
      <x:c r="B11" s="12"/>
      <x:c r="C11" s="12"/>
      <x:c r="D11" s="12"/>
      <x:c r="E11" s="12"/>
    </x:row>
    <x:row r="12" ht="23" customHeight="1">
      <x:c r="A12" s="2" t="str">
        <x:v>Commission avoided on shifted sales</x:v>
      </x:c>
      <x:c r="B12" s="12" t="n">
        <x:f>B7*$B$30</x:f>
        <x:v>0</x:v>
      </x:c>
      <x:c r="C12" s="12" t="n">
        <x:f>C7*$B$30</x:f>
        <x:v>2176.7999999999997</x:v>
      </x:c>
      <x:c r="D12" s="12" t="n">
        <x:f>D7*$B$30</x:f>
        <x:v>4353.599999999999</x:v>
      </x:c>
      <x:c r="E12" s="12" t="n">
        <x:f>E7*$B$30</x:f>
        <x:v>6530.4</x:v>
      </x:c>
    </x:row>
    <x:row r="13" ht="23" customHeight="1">
      <x:c r="A13" s="2" t="str">
        <x:v>Extra reduction on own-driver orders</x:v>
      </x:c>
      <x:c r="B13" s="12" t="n">
        <x:f>B8*$B$32*($B$30-$B$31)</x:f>
        <x:v>2176.7999999999997</x:v>
      </x:c>
      <x:c r="C13" s="12" t="n">
        <x:f>C8*$B$32*($B$30-$B$31)</x:f>
        <x:v>2067.96</x:v>
      </x:c>
      <x:c r="D13" s="12" t="n">
        <x:f>D8*$B$32*($B$30-$B$31)</x:f>
        <x:v>1959.1200000000001</x:v>
      </x:c>
      <x:c r="E13" s="12" t="n">
        <x:f>E8*$B$32*($B$30-$B$31)</x:f>
        <x:v>1850.28</x:v>
      </x:c>
    </x:row>
    <x:row r="14" ht="23" customHeight="1">
      <x:c r="A14" s="2" t="str">
        <x:v>Advertising reduction</x:v>
      </x:c>
      <x:c r="B14" s="12" t="n">
        <x:f>$B$28*B6*$B$29</x:f>
        <x:v>0</x:v>
      </x:c>
      <x:c r="C14" s="12" t="n">
        <x:f>$B$28*C6*$B$29</x:f>
        <x:v>605</x:v>
      </x:c>
      <x:c r="D14" s="12" t="n">
        <x:f>$B$28*D6*$B$29</x:f>
        <x:v>1210</x:v>
      </x:c>
      <x:c r="E14" s="12" t="n">
        <x:f>$B$28*E6*$B$29</x:f>
        <x:v>1815</x:v>
      </x:c>
    </x:row>
    <x:row r="15" ht="23" customHeight="1">
      <x:c r="A15" s="18" t="str">
        <x:v>Gross modeled savings</x:v>
      </x:c>
      <x:c r="B15" s="19" t="n">
        <x:f>SUM(B12:B14)</x:f>
        <x:v>2176.7999999999997</x:v>
      </x:c>
      <x:c r="C15" s="19" t="n">
        <x:f>SUM(C12:C14)</x:f>
        <x:v>4849.76</x:v>
      </x:c>
      <x:c r="D15" s="19" t="n">
        <x:f>SUM(D12:D14)</x:f>
        <x:v>7522.719999999999</x:v>
      </x:c>
      <x:c r="E15" s="19" t="n">
        <x:f>SUM(E12:E14)</x:f>
        <x:v>10195.68</x:v>
      </x:c>
    </x:row>
    <x:row r="16" ht="23" customHeight="1">
      <x:c r="A16" s="2"/>
      <x:c r="B16" s="12"/>
      <x:c r="C16" s="12"/>
      <x:c r="D16" s="12"/>
      <x:c r="E16" s="12"/>
    </x:row>
    <x:row r="17" ht="23" customHeight="1">
      <x:c r="A17" s="2" t="str">
        <x:v>Direct provider and payment fees</x:v>
      </x:c>
      <x:c r="B17" s="12" t="n">
        <x:f>B7*$B$33</x:f>
        <x:v>0</x:v>
      </x:c>
      <x:c r="C17" s="12" t="n">
        <x:f>C7*$B$33</x:f>
        <x:v>217.67999999999998</x:v>
      </x:c>
      <x:c r="D17" s="12" t="n">
        <x:f>D7*$B$33</x:f>
        <x:v>435.35999999999996</x:v>
      </x:c>
      <x:c r="E17" s="12" t="n">
        <x:f>E7*$B$33</x:f>
        <x:v>653.04</x:v>
      </x:c>
    </x:row>
    <x:row r="18" ht="23" customHeight="1">
      <x:c r="A18" s="2" t="str">
        <x:v>Discounts on transferred sales</x:v>
      </x:c>
      <x:c r="B18" s="12" t="n">
        <x:f>B7*$B$34</x:f>
        <x:v>0</x:v>
      </x:c>
      <x:c r="C18" s="12" t="n">
        <x:f>C7*$B$34</x:f>
        <x:v>145.12</x:v>
      </x:c>
      <x:c r="D18" s="12" t="n">
        <x:f>D7*$B$34</x:f>
        <x:v>290.24</x:v>
      </x:c>
      <x:c r="E18" s="12" t="n">
        <x:f>E7*$B$34</x:f>
        <x:v>435.36</x:v>
      </x:c>
    </x:row>
    <x:row r="19" ht="23" customHeight="1">
      <x:c r="A19" s="2" t="str">
        <x:v>Extra delivery cost on shifted sales</x:v>
      </x:c>
      <x:c r="B19" s="12" t="n">
        <x:f>B7*$B$35</x:f>
        <x:v>0</x:v>
      </x:c>
      <x:c r="C19" s="12" t="n">
        <x:f>C7*$B$35</x:f>
        <x:v>290.24</x:v>
      </x:c>
      <x:c r="D19" s="12" t="n">
        <x:f>D7*$B$35</x:f>
        <x:v>580.48</x:v>
      </x:c>
      <x:c r="E19" s="12" t="n">
        <x:f>E7*$B$35</x:f>
        <x:v>870.72</x:v>
      </x:c>
    </x:row>
    <x:row r="20" ht="23" customHeight="1">
      <x:c r="A20" s="2" t="str">
        <x:v>Extra own-driver cost on retained orders</x:v>
      </x:c>
      <x:c r="B20" s="12" t="n">
        <x:f>B8*$B$32*$B$36</x:f>
        <x:v>580.48</x:v>
      </x:c>
      <x:c r="C20" s="12" t="n">
        <x:f>C8*$B$32*$B$36</x:f>
        <x:v>551.456</x:v>
      </x:c>
      <x:c r="D20" s="12" t="n">
        <x:f>D8*$B$32*$B$36</x:f>
        <x:v>522.432</x:v>
      </x:c>
      <x:c r="E20" s="12" t="n">
        <x:f>E8*$B$32*$B$36</x:f>
        <x:v>493.408</x:v>
      </x:c>
    </x:row>
    <x:row r="21" ht="23" customHeight="1">
      <x:c r="A21" s="18" t="str">
        <x:v>Net modeled benefit</x:v>
      </x:c>
      <x:c r="B21" s="19" t="n">
        <x:f>B15-SUM(B17:B20)</x:f>
        <x:v>1596.3199999999997</x:v>
      </x:c>
      <x:c r="C21" s="19" t="n">
        <x:f>C15-SUM(C17:C20)</x:f>
        <x:v>3645.264</x:v>
      </x:c>
      <x:c r="D21" s="19" t="n">
        <x:f>D15-SUM(D17:D20)</x:f>
        <x:v>5694.208</x:v>
      </x:c>
      <x:c r="E21" s="19" t="n">
        <x:f>E15-SUM(E17:E20)</x:f>
        <x:v>7743.152</x:v>
      </x:c>
    </x:row>
    <x:row r="22" ht="23" customHeight="1">
      <x:c r="A22" s="2"/>
      <x:c r="B22" s="2"/>
      <x:c r="C22" s="2"/>
      <x:c r="D22" s="2"/>
      <x:c r="E22" s="2"/>
    </x:row>
    <x:row r="23" ht="23" customHeight="1">
      <x:c r="A23" s="2"/>
      <x:c r="B23" s="2"/>
      <x:c r="C23" s="2"/>
      <x:c r="D23" s="2"/>
      <x:c r="E23" s="2"/>
    </x:row>
    <x:row r="24" ht="23" customHeight="1">
      <x:c r="A24" s="2" t="str">
        <x:v>Hypothetical baseline inputs</x:v>
      </x:c>
      <x:c r="B24" s="2"/>
      <x:c r="C24" s="2"/>
      <x:c r="D24" s="2"/>
      <x:c r="E24" s="2"/>
    </x:row>
    <x:row r="25" ht="23" customHeight="1">
      <x:c r="A25" s="2" t="str">
        <x:v>Total sales</x:v>
      </x:c>
      <x:c r="B25" s="13" t="n">
        <x:v>291300</x:v>
      </x:c>
      <x:c r="C25" s="2" t="str">
        <x:v>Fictional total store sales.</x:v>
      </x:c>
      <x:c r="D25" s="2"/>
      <x:c r="E25" s="2"/>
    </x:row>
    <x:row r="26" ht="23" customHeight="1">
      <x:c r="A26" s="2" t="str">
        <x:v>Marketplace sales</x:v>
      </x:c>
      <x:c r="B26" s="13" t="n">
        <x:v>145120</x:v>
      </x:c>
      <x:c r="C26" s="2" t="str">
        <x:v>Fictional marketplace sales.</x:v>
      </x:c>
      <x:c r="D26" s="2"/>
      <x:c r="E26" s="2"/>
    </x:row>
    <x:row r="27" ht="23" customHeight="1">
      <x:c r="A27" s="2" t="str">
        <x:v>Website sales</x:v>
      </x:c>
      <x:c r="B27" s="13" t="n">
        <x:v>23300</x:v>
      </x:c>
      <x:c r="C27" s="2" t="str">
        <x:v>Fictional website sales.</x:v>
      </x:c>
      <x:c r="D27" s="2"/>
      <x:c r="E27" s="2"/>
    </x:row>
    <x:row r="28" ht="23" customHeight="1">
      <x:c r="A28" s="2" t="str">
        <x:v>Advertising budget</x:v>
      </x:c>
      <x:c r="B28" s="13" t="n">
        <x:v>12100</x:v>
      </x:c>
      <x:c r="C28" s="2" t="str">
        <x:v>Fictional combined advertising.</x:v>
      </x:c>
      <x:c r="D28" s="2"/>
      <x:c r="E28" s="2"/>
    </x:row>
    <x:row r="29" ht="23" customHeight="1">
      <x:c r="A29" s="2" t="str">
        <x:v>Ad reduction relative to sales shift</x:v>
      </x:c>
      <x:c r="B29" s="11" t="n">
        <x:v>1</x:v>
      </x:c>
      <x:c r="C29" s="2" t="str">
        <x:v>1.0 = ad spend falls proportionally.</x:v>
      </x:c>
      <x:c r="D29" s="2"/>
      <x:c r="E29" s="2"/>
    </x:row>
    <x:row r="30" ht="23" customHeight="1">
      <x:c r="A30" s="2" t="str">
        <x:v>Platform-driver commission rate</x:v>
      </x:c>
      <x:c r="B30" s="11" t="n">
        <x:v>0.3</x:v>
      </x:c>
      <x:c r="C30" s="2" t="str">
        <x:v>Hypothetical rate, not a contract.</x:v>
      </x:c>
      <x:c r="D30" s="2"/>
      <x:c r="E30" s="2"/>
    </x:row>
    <x:row r="31" ht="23" customHeight="1">
      <x:c r="A31" s="2" t="str">
        <x:v>Own-driver commission rate</x:v>
      </x:c>
      <x:c r="B31" s="11" t="n">
        <x:v>0.15</x:v>
      </x:c>
      <x:c r="C31" s="2" t="str">
        <x:v>Hypothetical rate, not a contract.</x:v>
      </x:c>
      <x:c r="D31" s="2"/>
      <x:c r="E31" s="2"/>
    </x:row>
    <x:row r="32" ht="23" customHeight="1">
      <x:c r="A32" s="2" t="str">
        <x:v>Own-driver share of remaining sales</x:v>
      </x:c>
      <x:c r="B32" s="11" t="n">
        <x:v>0.1</x:v>
      </x:c>
      <x:c r="C32" s="2" t="str">
        <x:v>Illustrative eligible share, not measured.</x:v>
      </x:c>
      <x:c r="D32" s="2"/>
      <x:c r="E32" s="2"/>
    </x:row>
    <x:row r="33" ht="23" customHeight="1">
      <x:c r="A33" s="2" t="str">
        <x:v>Direct provider and payment fee rate</x:v>
      </x:c>
      <x:c r="B33" s="11" t="n">
        <x:v>0.03</x:v>
      </x:c>
      <x:c r="C33" s="2" t="str">
        <x:v>Hypothetical fee on transferred sales.</x:v>
      </x:c>
      <x:c r="D33" s="2"/>
      <x:c r="E33" s="2"/>
    </x:row>
    <x:row r="34" ht="23" customHeight="1">
      <x:c r="A34" s="2" t="str">
        <x:v>Discount rate on transferred sales</x:v>
      </x:c>
      <x:c r="B34" s="11" t="n">
        <x:v>0.02</x:v>
      </x:c>
      <x:c r="C34" s="2" t="str">
        <x:v>Hypothetical discount on transferred sales.</x:v>
      </x:c>
      <x:c r="D34" s="2"/>
      <x:c r="E34" s="2"/>
    </x:row>
    <x:row r="35" ht="23" customHeight="1">
      <x:c r="A35" s="2" t="str">
        <x:v>Extra delivery cost / shifted sales</x:v>
      </x:c>
      <x:c r="B35" s="11" t="n">
        <x:v>0.04</x:v>
      </x:c>
      <x:c r="C35" s="2" t="str">
        <x:v>Incremental delivery cost, net of charges.</x:v>
      </x:c>
      <x:c r="D35" s="2"/>
      <x:c r="E35" s="2"/>
    </x:row>
    <x:row r="36" ht="23" customHeight="1">
      <x:c r="A36" s="2" t="str">
        <x:v>Extra own-driver cost / retained sales</x:v>
      </x:c>
      <x:c r="B36" s="11" t="n">
        <x:v>0.04</x:v>
      </x:c>
      <x:c r="C36" s="2" t="str">
        <x:v>Incremental cost of own-driver orders.</x:v>
      </x:c>
      <x:c r="D36" s="2"/>
      <x:c r="E36" s="2"/>
    </x:row>
    <x:row r="37" ht="23" customHeight="1">
      <x:c r="A37" s="2"/>
      <x:c r="B37" s="2"/>
      <x:c r="C37" s="2"/>
      <x:c r="D37" s="2"/>
      <x:c r="E37" s="2"/>
    </x:row>
    <x:row r="38" ht="45" customHeight="1">
      <x:c r="A38" s="21" t="str">
        <x:v>Savings compare each scenario with a platform-driver baseline. The 0% shift column still includes an own-driver test on remaining orders.</x:v>
      </x:c>
      <x:c r="B38" s="21"/>
      <x:c r="C38" s="21"/>
      <x:c r="D38" s="21"/>
      <x:c r="E38" s="21"/>
    </x:row>
    <x:row r="39" ht="23" customHeight="1">
      <x:c r="A39" s="2"/>
      <x:c r="B39" s="2"/>
      <x:c r="C39" s="2"/>
      <x:c r="D39" s="2"/>
      <x:c r="E39" s="2"/>
    </x:row>
    <x:row r="40" ht="45" customHeight="1">
      <x:c r="A40" s="21" t="str">
        <x:v>Assumes transferred sales are retained, prices are comparable and contribution before channel costs is unchanged. Discounts and extra delivery costs reduce benefit.</x:v>
      </x:c>
      <x:c r="B40" s="21"/>
      <x:c r="C40" s="21"/>
      <x:c r="D40" s="21"/>
      <x:c r="E40" s="21"/>
    </x:row>
    <x:row r="41" ht="23" customHeight="1">
      <x:c r="A41" s="2"/>
      <x:c r="B41" s="2"/>
      <x:c r="C41" s="2"/>
      <x:c r="D41" s="2"/>
      <x:c r="E41" s="2"/>
    </x:row>
    <x:row r="42" ht="42" customHeight="1">
      <x:c r="A42" s="21" t="str">
        <x:v>All rates are hypothetical. This is an illustrative sensitivity calculation, not achieved savings or a statement of actual marketplace contracts.</x:v>
      </x:c>
      <x:c r="B42" s="21"/>
      <x:c r="C42" s="21"/>
      <x:c r="D42" s="21"/>
      <x:c r="E42" s="21"/>
    </x:row>
    <x:row r="43" ht="23" customHeight="1">
      <x:c r="A43" s="2"/>
      <x:c r="B43" s="2"/>
      <x:c r="C43" s="2"/>
      <x:c r="D43" s="2"/>
      <x:c r="E43" s="2"/>
    </x:row>
    <x:row r="44" ht="23" customHeight="1">
      <x:c r="A44" s="2"/>
      <x:c r="B44" s="2"/>
      <x:c r="C44" s="2"/>
      <x:c r="D44" s="2"/>
      <x:c r="E44" s="2"/>
    </x:row>
  </x:sheetData>
  <x:mergeCells>
    <x:mergeCell ref="A3:E3"/>
    <x:mergeCell ref="C25:E25"/>
    <x:mergeCell ref="C26:E26"/>
    <x:mergeCell ref="C27:E27"/>
    <x:mergeCell ref="C28:E28"/>
    <x:mergeCell ref="C29:E29"/>
    <x:mergeCell ref="C30:E30"/>
    <x:mergeCell ref="C31:E31"/>
    <x:mergeCell ref="C32:E32"/>
    <x:mergeCell ref="C33:E33"/>
    <x:mergeCell ref="C34:E34"/>
    <x:mergeCell ref="C35:E35"/>
    <x:mergeCell ref="C36:E36"/>
    <x:mergeCell ref="A38:E38"/>
    <x:mergeCell ref="A40:E40"/>
    <x:mergeCell ref="A42:E42"/>
  </x:mergeCells>
  <x:dataValidations count="2">
    <x:dataValidation type="decimal" operator="between" sqref="B6:E6">
      <x:formula1>0</x:formula1>
      <x:formula2>1</x:formula2>
    </x:dataValidation>
    <x:dataValidation type="decimal" operator="between" sqref="B29:B36">
      <x:formula1>0</x:formula1>
      <x:formula2>1</x:formula2>
    </x:dataValidation>
  </x:dataValidations>
  <x:pageMargins left="0.7" right="0.7" top="0.75" bottom="0.75" header="0.3" footer="0.3"/>
</x:worksheet>
</file>