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ec66ddf92640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agement Review" sheetId="1" r:id="Rcaa8081345514ef4"/>
    <x:sheet xmlns:r="http://schemas.openxmlformats.org/officeDocument/2006/relationships" name="Financial Review" sheetId="2" r:id="Rbe179f00bfac496a"/>
    <x:sheet xmlns:r="http://schemas.openxmlformats.org/officeDocument/2006/relationships" name="Demo Inputs" sheetId="3" r:id="Rc7c28444eaaa4b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;($#,##0);&quot;-&quot;"/>
    <x:numFmt numFmtId="201" formatCode="0.0%"/>
    <x:numFmt numFmtId="202" formatCode="0.0&quot; pp&quot;"/>
  </x:numFmts>
  <x:fonts count="10">
    <x:font>
      <x:sz val="11"/>
      <x:name val="Carlito"/>
    </x:font>
    <x:font>
      <x:sz val="11"/>
      <x:color rgb="FF202B28"/>
      <x:name val="Calibri"/>
    </x:font>
    <x:font>
      <x:b/>
      <x:sz val="16"/>
      <x:color rgb="FF234D40"/>
      <x:name val="Calibri"/>
    </x:font>
    <x:font>
      <x:i/>
      <x:sz val="10"/>
      <x:color rgb="FF59675F"/>
      <x:name val="Calibri"/>
    </x:font>
    <x:font>
      <x:b/>
      <x:sz val="11"/>
      <x:color rgb="FFFFFFFF"/>
      <x:name val="Calibri"/>
    </x:font>
    <x:font>
      <x:sz val="11"/>
      <x:color rgb="FF1D4ED8"/>
      <x:name val="Calibri"/>
    </x:font>
    <x:font>
      <x:sz val="11"/>
      <x:color rgb="FF1D4ED8"/>
      <x:name val="Carlito"/>
    </x:font>
    <x:font>
      <x:sz val="10"/>
      <x:color rgb="FF59675F"/>
      <x:name val="Calibri"/>
    </x:font>
    <x:font>
      <x:b/>
      <x:sz val="11"/>
      <x:color rgb="FF202B28"/>
      <x:name val="Calibri"/>
    </x:font>
    <x:font>
      <x:sz val="11"/>
      <x:color rgb="FF234D4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234D40"/>
      </x:patternFill>
    </x:fill>
    <x:fill>
      <x:patternFill patternType="solid">
        <x:fgColor rgb="FFFFF1C9"/>
      </x:patternFill>
    </x:fill>
    <x:fill>
      <x:patternFill patternType="solid">
        <x:fgColor rgb="FFF8F6F0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34D40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200" fontId="5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8" fillId="4" borderId="1" xfId="0" applyNumberFormat="1" applyFont="1" applyFill="1" applyBorder="1" applyAlignment="1">
      <x:alignment vertical="center"/>
    </x:xf>
    <x:xf numFmtId="201" fontId="8" fillId="4" borderId="1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0" fontId="8" fillId="4" borderId="0" xfId="0" applyNumberFormat="1" applyFont="1" applyFill="1" applyBorder="1" applyAlignment="1">
      <x:alignment vertical="center"/>
    </x:xf>
    <x:xf numFmtId="201" fontId="8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ed132f944d46c4" /><Relationship Type="http://schemas.openxmlformats.org/officeDocument/2006/relationships/theme" Target="/xl/theme/theme1.xml" Id="Rcfb3bea0d0014fa9" /><Relationship Type="http://schemas.openxmlformats.org/officeDocument/2006/relationships/sharedStrings" Target="/xl/sharedStrings.xml" Id="Raee4b6adee6045f1" /><Relationship Type="http://schemas.openxmlformats.org/officeDocument/2006/relationships/worksheet" Target="/xl/worksheets/sheet1.xml" Id="Rcaa8081345514ef4" /><Relationship Type="http://schemas.openxmlformats.org/officeDocument/2006/relationships/worksheet" Target="/xl/worksheets/sheet2.xml" Id="Rbe179f00bfac496a" /><Relationship Type="http://schemas.openxmlformats.org/officeDocument/2006/relationships/worksheet" Target="/xl/worksheets/sheet3.xml" Id="Rc7c28444eaaa4b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Restaurant management review</x:v>
      </x:c>
      <x:c r="B2" s="2"/>
      <x:c r="C2" s="2"/>
      <x:c r="D2" s="2"/>
      <x:c r="E2" s="2"/>
      <x:c r="F2" s="2"/>
      <x:c r="G2" s="2"/>
    </x:row>
    <x:row r="3" ht="28" customHeight="1">
      <x:c r="A3" s="4" t="str">
        <x:v>Fictional demonstration data. All figures and business identifiers are invented.</x:v>
      </x:c>
      <x:c r="B3" s="4"/>
      <x:c r="C3" s="4"/>
      <x:c r="D3" s="4"/>
      <x:c r="E3" s="4"/>
      <x:c r="F3" s="4"/>
      <x:c r="G3" s="4"/>
    </x:row>
    <x:row r="4" ht="23" customHeight="1">
      <x:c r="A4" s="2"/>
      <x:c r="B4" s="2"/>
      <x:c r="C4" s="2"/>
      <x:c r="D4" s="2"/>
      <x:c r="E4" s="2"/>
      <x:c r="F4" s="2"/>
      <x:c r="G4" s="2"/>
    </x:row>
    <x:row r="5" ht="35" customHeight="1">
      <x:c r="A5" s="8" t="str">
        <x:v>Store</x:v>
      </x:c>
      <x:c r="B5" s="8" t="str">
        <x:v>Sales</x:v>
      </x:c>
      <x:c r="C5" s="8" t="str">
        <x:v>Direct costs</x:v>
      </x:c>
      <x:c r="D5" s="8" t="str">
        <x:v>Contribution margin</x:v>
      </x:c>
      <x:c r="E5" s="8" t="str">
        <x:v>Operating result</x:v>
      </x:c>
      <x:c r="F5" s="8" t="str">
        <x:v>Result margin</x:v>
      </x:c>
      <x:c r="G5" s="8" t="str">
        <x:v>Result change</x:v>
      </x:c>
    </x:row>
    <x:row r="6" ht="23" customHeight="1">
      <x:c r="A6" s="2" t="str">
        <x:v>Store A</x:v>
      </x:c>
      <x:c r="B6" s="24" t="n">
        <x:f>'Financial Review'!C7</x:f>
        <x:v>91200</x:v>
      </x:c>
      <x:c r="C6" s="24" t="n">
        <x:f>SUM('Financial Review'!C8:C11)</x:f>
        <x:v>62940</x:v>
      </x:c>
      <x:c r="D6" s="22" t="n">
        <x:f>IF(B6=0,"n.a.",(B6-C6)/B6)</x:f>
        <x:v>0.30986842105263157</x:v>
      </x:c>
      <x:c r="E6" s="24" t="n">
        <x:f>'Financial Review'!C16</x:f>
        <x:v>2560</x:v>
      </x:c>
      <x:c r="F6" s="22" t="n">
        <x:f>IF(B6=0,"n.a.",E6/B6)</x:f>
        <x:v>0.028070175438596492</x:v>
      </x:c>
      <x:c r="G6" s="24" t="n">
        <x:f>'Financial Review'!D16</x:f>
        <x:v>-3090</x:v>
      </x:c>
    </x:row>
    <x:row r="7" ht="23" customHeight="1">
      <x:c r="A7" s="2" t="str">
        <x:v>Store B</x:v>
      </x:c>
      <x:c r="B7" s="24" t="n">
        <x:f>'Financial Review'!C26</x:f>
        <x:v>63600</x:v>
      </x:c>
      <x:c r="C7" s="24" t="n">
        <x:f>SUM('Financial Review'!C27:C30)</x:f>
        <x:v>42900</x:v>
      </x:c>
      <x:c r="D7" s="22" t="n">
        <x:f>IF(B7=0,"n.a.",(B7-C7)/B7)</x:f>
        <x:v>0.32547169811320753</x:v>
      </x:c>
      <x:c r="E7" s="24" t="n">
        <x:f>'Financial Review'!C35</x:f>
        <x:v>500</x:v>
      </x:c>
      <x:c r="F7" s="22" t="n">
        <x:f>IF(B7=0,"n.a.",E7/B7)</x:f>
        <x:v>0.007861635220125786</x:v>
      </x:c>
      <x:c r="G7" s="24" t="n">
        <x:f>'Financial Review'!D35</x:f>
        <x:v>2600</x:v>
      </x:c>
    </x:row>
    <x:row r="8" ht="23" customHeight="1">
      <x:c r="A8" s="2" t="str">
        <x:v>Store C</x:v>
      </x:c>
      <x:c r="B8" s="24" t="n">
        <x:f>'Financial Review'!C45</x:f>
        <x:v>136500</x:v>
      </x:c>
      <x:c r="C8" s="24" t="n">
        <x:f>SUM('Financial Review'!C46:C49)</x:f>
        <x:v>84880</x:v>
      </x:c>
      <x:c r="D8" s="22" t="n">
        <x:f>IF(B8=0,"n.a.",(B8-C8)/B8)</x:f>
        <x:v>0.3781684981684982</x:v>
      </x:c>
      <x:c r="E8" s="24" t="n">
        <x:f>'Financial Review'!C54</x:f>
        <x:v>20650</x:v>
      </x:c>
      <x:c r="F8" s="22" t="n">
        <x:f>IF(B8=0,"n.a.",E8/B8)</x:f>
        <x:v>0.15128205128205127</x:v>
      </x:c>
      <x:c r="G8" s="24" t="n">
        <x:f>'Financial Review'!D54</x:f>
        <x:v>1910</x:v>
      </x:c>
    </x:row>
    <x:row r="9" ht="23" customHeight="1">
      <x:c r="A9" s="21" t="str">
        <x:v>Combined</x:v>
      </x:c>
      <x:c r="B9" s="26" t="n">
        <x:f>SUM(B6:B8)</x:f>
        <x:v>291300</x:v>
      </x:c>
      <x:c r="C9" s="26" t="n">
        <x:f>SUM(C6:C8)</x:f>
        <x:v>190720</x:v>
      </x:c>
      <x:c r="D9" s="27" t="n">
        <x:f>IF(B9=0,"n.a.",(B9-C9)/B9)</x:f>
        <x:v>0.34527978029522827</x:v>
      </x:c>
      <x:c r="E9" s="26" t="n">
        <x:f>SUM(E6:E8)</x:f>
        <x:v>23710</x:v>
      </x:c>
      <x:c r="F9" s="27" t="n">
        <x:f>IF(B9=0,"n.a.",E9/B9)</x:f>
        <x:v>0.08139375214555442</x:v>
      </x:c>
      <x:c r="G9" s="26" t="n">
        <x:f>SUM(G6:G8)</x:f>
        <x:v>1420</x:v>
      </x:c>
    </x:row>
    <x:row r="10" ht="23" customHeight="1">
      <x:c r="A10" s="2"/>
      <x:c r="B10" s="2"/>
      <x:c r="C10" s="2"/>
      <x:c r="D10" s="2"/>
      <x:c r="E10" s="2"/>
      <x:c r="F10" s="2"/>
      <x:c r="G10" s="2"/>
    </x:row>
    <x:row r="11" ht="40" customHeight="1">
      <x:c r="A11" s="33" t="str">
        <x:v>Direct costs: food, central kitchen fees, restaurant labor and marketplace commissions. Contribution = sales less direct costs.</x:v>
      </x:c>
      <x:c r="B11" s="33"/>
      <x:c r="C11" s="33"/>
      <x:c r="D11" s="33"/>
      <x:c r="E11" s="33"/>
      <x:c r="F11" s="33"/>
      <x:c r="G11" s="33"/>
    </x:row>
    <x:row r="12" ht="23" customHeight="1">
      <x:c r="A12" s="2"/>
      <x:c r="B12" s="2"/>
      <x:c r="C12" s="2"/>
      <x:c r="D12" s="2"/>
      <x:c r="E12" s="2"/>
      <x:c r="F12" s="2"/>
      <x:c r="G12" s="2"/>
    </x:row>
    <x:row r="13" ht="40" customHeight="1">
      <x:c r="A13" s="33" t="str">
        <x:v>Operating result subtracts all eight expense categories in Financial Review. No certified EBITDA, accounting or tax conclusion is implied.</x:v>
      </x:c>
      <x:c r="B13" s="33"/>
      <x:c r="C13" s="33"/>
      <x:c r="D13" s="33"/>
      <x:c r="E13" s="33"/>
      <x:c r="F13" s="33"/>
      <x:c r="G13" s="33"/>
    </x:row>
    <x:row r="14" ht="23" customHeight="1">
      <x:c r="A14" s="2"/>
      <x:c r="B14" s="2"/>
      <x:c r="C14" s="2"/>
      <x:c r="D14" s="2"/>
      <x:c r="E14" s="2"/>
      <x:c r="F14" s="2"/>
      <x:c r="G14" s="2"/>
    </x:row>
    <x:row r="15" ht="23" customHeight="1">
      <x:c r="A15" s="2"/>
      <x:c r="B15" s="2"/>
      <x:c r="C15" s="2"/>
      <x:c r="D15" s="2"/>
      <x:c r="E15" s="2"/>
      <x:c r="F15" s="2"/>
      <x:c r="G15" s="2"/>
    </x:row>
    <x:row r="16" ht="40" customHeight="1">
      <x:c r="A16" s="33" t="str">
        <x:v>Review example: Store A has weaker profitability. Store B moves from a loss to a small positive result. Store C has the largest result.</x:v>
      </x:c>
      <x:c r="B16" s="33"/>
      <x:c r="C16" s="33"/>
      <x:c r="D16" s="33"/>
      <x:c r="E16" s="33"/>
      <x:c r="F16" s="33"/>
      <x:c r="G16" s="33"/>
    </x:row>
    <x:row r="17" ht="23" customHeight="1">
      <x:c r="A17" s="2"/>
      <x:c r="B17" s="2"/>
      <x:c r="C17" s="2"/>
      <x:c r="D17" s="2"/>
      <x:c r="E17" s="2"/>
      <x:c r="F17" s="2"/>
      <x:c r="G17" s="2"/>
    </x:row>
    <x:row r="18" ht="23" customHeight="1">
      <x:c r="A18" s="2"/>
      <x:c r="B18" s="2"/>
      <x:c r="C18" s="2"/>
      <x:c r="D18" s="2"/>
      <x:c r="E18" s="2"/>
      <x:c r="F18" s="2"/>
      <x:c r="G18" s="2"/>
    </x:row>
    <x:row r="19" ht="40" customHeight="1">
      <x:c r="A19" s="33" t="str">
        <x:v>Suggested actions: review food quantities and pricing, align labor with demand, and compare channel contribution after fees and advertising.</x:v>
      </x:c>
      <x:c r="B19" s="33"/>
      <x:c r="C19" s="33"/>
      <x:c r="D19" s="33"/>
      <x:c r="E19" s="33"/>
      <x:c r="F19" s="33"/>
      <x:c r="G19" s="33"/>
    </x:row>
    <x:row r="20" ht="23" customHeight="1">
      <x:c r="A20" s="2"/>
      <x:c r="B20" s="2"/>
      <x:c r="C20" s="2"/>
      <x:c r="D20" s="2"/>
      <x:c r="E20" s="2"/>
      <x:c r="F20" s="2"/>
      <x:c r="G20" s="2"/>
    </x:row>
    <x:row r="21" ht="23" customHeight="1">
      <x:c r="A21" s="2"/>
      <x:c r="B21" s="2"/>
      <x:c r="C21" s="2"/>
      <x:c r="D21" s="2"/>
      <x:c r="E21" s="2"/>
      <x:c r="F21" s="2"/>
      <x:c r="G21" s="2"/>
    </x:row>
    <x:row r="22" ht="40" customHeight="1">
      <x:c r="A22" s="33" t="str">
        <x:v>Yellow cells on Demo Inputs are editable. All monetary values are USD. Financial results here are fictional, not achieved business outcomes.</x:v>
      </x:c>
      <x:c r="B22" s="33"/>
      <x:c r="C22" s="33"/>
      <x:c r="D22" s="33"/>
      <x:c r="E22" s="33"/>
      <x:c r="F22" s="33"/>
      <x:c r="G22" s="33"/>
    </x:row>
    <x:row r="23" ht="23" customHeight="1">
      <x:c r="A23" s="2"/>
      <x:c r="B23" s="2"/>
      <x:c r="C23" s="2"/>
      <x:c r="D23" s="2"/>
      <x:c r="E23" s="2"/>
      <x:c r="F23" s="2"/>
      <x:c r="G23" s="2"/>
    </x:row>
    <x:row r="24" ht="23" customHeight="1">
      <x:c r="A24" s="2"/>
      <x:c r="B24" s="2"/>
      <x:c r="C24" s="2"/>
      <x:c r="D24" s="2"/>
      <x:c r="E24" s="2"/>
      <x:c r="F24" s="2"/>
      <x:c r="G24" s="2"/>
    </x:row>
    <x:row r="25" ht="23" customHeight="1">
      <x:c r="A25" s="2"/>
      <x:c r="B25" s="2"/>
      <x:c r="C25" s="2"/>
      <x:c r="D25" s="2"/>
      <x:c r="E25" s="2"/>
      <x:c r="F25" s="2"/>
      <x:c r="G25" s="2"/>
    </x:row>
    <x:row r="26" ht="23" customHeight="1">
      <x:c r="A26" s="2"/>
      <x:c r="B26" s="2"/>
      <x:c r="C26" s="2"/>
      <x:c r="D26" s="2"/>
      <x:c r="E26" s="2"/>
      <x:c r="F26" s="2"/>
      <x:c r="G26" s="2"/>
    </x:row>
    <x:row r="27" ht="23" customHeight="1">
      <x:c r="A27" s="2"/>
      <x:c r="B27" s="2"/>
      <x:c r="C27" s="2"/>
      <x:c r="D27" s="2"/>
      <x:c r="E27" s="2"/>
      <x:c r="F27" s="2"/>
      <x:c r="G27" s="2"/>
    </x:row>
    <x:row r="28" ht="23" customHeight="1">
      <x:c r="A28" s="2"/>
      <x:c r="B28" s="2"/>
      <x:c r="C28" s="2"/>
      <x:c r="D28" s="2"/>
      <x:c r="E28" s="2"/>
      <x:c r="F28" s="2"/>
      <x:c r="G28" s="2"/>
    </x:row>
    <x:row r="29" ht="23" customHeight="1">
      <x:c r="A29" s="2"/>
      <x:c r="B29" s="2"/>
      <x:c r="C29" s="2"/>
      <x:c r="D29" s="2"/>
      <x:c r="E29" s="2"/>
      <x:c r="F29" s="2"/>
      <x:c r="G29" s="2"/>
    </x:row>
    <x:row r="30" ht="23" customHeight="1">
      <x:c r="A30" s="2"/>
      <x:c r="B30" s="2"/>
      <x:c r="C30" s="2"/>
      <x:c r="D30" s="2"/>
      <x:c r="E30" s="2"/>
      <x:c r="F30" s="2"/>
      <x:c r="G30" s="2"/>
    </x:row>
  </x:sheetData>
  <x:mergeCells>
    <x:mergeCell ref="A3:G3"/>
    <x:mergeCell ref="A11:G11"/>
    <x:mergeCell ref="A13:G13"/>
    <x:mergeCell ref="A16:G16"/>
    <x:mergeCell ref="A19:G19"/>
    <x:mergeCell ref="A22:G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3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23" customHeight="1">
      <x:c r="A2" s="3" t="str">
        <x:v>Monthly financial comparison</x:v>
      </x:c>
      <x:c r="B2" s="2"/>
      <x:c r="C2" s="2"/>
      <x:c r="D2" s="2"/>
      <x:c r="E2" s="2"/>
      <x:c r="F2" s="2"/>
    </x:row>
    <x:row r="3" ht="28" customHeight="1">
      <x:c r="A3" s="4" t="str">
        <x:v>Fictional demonstration data. All figures and business identifiers are invented.</x:v>
      </x:c>
      <x:c r="B3" s="4"/>
      <x:c r="C3" s="4"/>
      <x:c r="D3" s="4"/>
      <x:c r="E3" s="4"/>
      <x:c r="F3" s="4"/>
    </x:row>
    <x:row r="4" ht="23" customHeight="1">
      <x:c r="A4" s="2"/>
      <x:c r="B4" s="2"/>
      <x:c r="C4" s="2"/>
      <x:c r="D4" s="2"/>
      <x:c r="E4" s="2"/>
      <x:c r="F4" s="2"/>
    </x:row>
    <x:row r="5" ht="23" customHeight="1">
      <x:c r="A5" s="17" t="str">
        <x:v>Store A</x:v>
      </x:c>
      <x:c r="B5" s="2"/>
      <x:c r="C5" s="2"/>
      <x:c r="D5" s="2"/>
      <x:c r="E5" s="2"/>
      <x:c r="F5" s="2"/>
    </x:row>
    <x:row r="6" ht="35" customHeight="1">
      <x:c r="A6" s="8" t="str">
        <x:v>Metric</x:v>
      </x:c>
      <x:c r="B6" s="8" t="str">
        <x:v>Period 1</x:v>
      </x:c>
      <x:c r="C6" s="8" t="str">
        <x:v>Period 2</x:v>
      </x:c>
      <x:c r="D6" s="8" t="str">
        <x:v>Profit impact</x:v>
      </x:c>
      <x:c r="E6" s="8" t="str">
        <x:v>Period 2 / sales</x:v>
      </x:c>
      <x:c r="F6" s="8" t="str">
        <x:v>Meaning</x:v>
      </x:c>
    </x:row>
    <x:row r="7" ht="23" customHeight="1">
      <x:c r="A7" s="2" t="str">
        <x:v>Revenue</x:v>
      </x:c>
      <x:c r="B7" s="24" t="n">
        <x:f>SUMIFS('Demo Inputs'!$D$6:$D$59,'Demo Inputs'!$A$6:$A$59,$A$5,'Demo Inputs'!$B$6:$B$59,B$6,'Demo Inputs'!$C$6:$C$59,$A7)</x:f>
        <x:v>95000</x:v>
      </x:c>
      <x:c r="C7" s="24" t="n">
        <x:f>SUMIFS('Demo Inputs'!$D$6:$D$59,'Demo Inputs'!$A$6:$A$59,$A$5,'Demo Inputs'!$B$6:$B$59,C$6,'Demo Inputs'!$C$6:$C$59,$A7)</x:f>
        <x:v>91200</x:v>
      </x:c>
      <x:c r="D7" s="25" t="n">
        <x:f>C7-B7</x:f>
        <x:v>-3800</x:v>
      </x:c>
      <x:c r="E7" s="22" t="n">
        <x:f>IF(C$7=0,"n.a.",C7/C$7)</x:f>
        <x:v>1</x:v>
      </x:c>
      <x:c r="F7" s="2"/>
    </x:row>
    <x:row r="8" ht="23" customHeight="1">
      <x:c r="A8" s="2" t="str">
        <x:v>Food and beverage</x:v>
      </x:c>
      <x:c r="B8" s="24" t="n">
        <x:f>SUMIFS('Demo Inputs'!$D$6:$D$59,'Demo Inputs'!$A$6:$A$59,$A$5,'Demo Inputs'!$B$6:$B$59,B$6,'Demo Inputs'!$C$6:$C$59,$A8)</x:f>
        <x:v>24700</x:v>
      </x:c>
      <x:c r="C8" s="24" t="n">
        <x:f>SUMIFS('Demo Inputs'!$D$6:$D$59,'Demo Inputs'!$A$6:$A$59,$A$5,'Demo Inputs'!$B$6:$B$59,C$6,'Demo Inputs'!$C$6:$C$59,$A8)</x:f>
        <x:v>25536</x:v>
      </x:c>
      <x:c r="D8" s="25" t="n">
        <x:f>B8-C8</x:f>
        <x:v>-836</x:v>
      </x:c>
      <x:c r="E8" s="22" t="n">
        <x:f>IF(C$7=0,"n.a.",C8/C$7)</x:f>
        <x:v>0.28</x:v>
      </x:c>
      <x:c r="F8" s="2"/>
    </x:row>
    <x:row r="9" ht="23" customHeight="1">
      <x:c r="A9" s="2" t="str">
        <x:v>Central kitchen fees</x:v>
      </x:c>
      <x:c r="B9" s="24" t="n">
        <x:f>SUMIFS('Demo Inputs'!$D$6:$D$59,'Demo Inputs'!$A$6:$A$59,$A$5,'Demo Inputs'!$B$6:$B$59,B$6,'Demo Inputs'!$C$6:$C$59,$A9)</x:f>
        <x:v>3800</x:v>
      </x:c>
      <x:c r="C9" s="24" t="n">
        <x:f>SUMIFS('Demo Inputs'!$D$6:$D$59,'Demo Inputs'!$A$6:$A$59,$A$5,'Demo Inputs'!$B$6:$B$59,C$6,'Demo Inputs'!$C$6:$C$59,$A9)</x:f>
        <x:v>4104</x:v>
      </x:c>
      <x:c r="D9" s="25" t="n">
        <x:f>B9-C9</x:f>
        <x:v>-304</x:v>
      </x:c>
      <x:c r="E9" s="22" t="n">
        <x:f>IF(C$7=0,"n.a.",C9/C$7)</x:f>
        <x:v>0.045</x:v>
      </x:c>
      <x:c r="F9" s="2"/>
    </x:row>
    <x:row r="10" ht="23" customHeight="1">
      <x:c r="A10" s="2" t="str">
        <x:v>Restaurant labor</x:v>
      </x:c>
      <x:c r="B10" s="24" t="n">
        <x:f>SUMIFS('Demo Inputs'!$D$6:$D$59,'Demo Inputs'!$A$6:$A$59,$A$5,'Demo Inputs'!$B$6:$B$59,B$6,'Demo Inputs'!$C$6:$C$59,$A10)</x:f>
        <x:v>21800</x:v>
      </x:c>
      <x:c r="C10" s="24" t="n">
        <x:f>SUMIFS('Demo Inputs'!$D$6:$D$59,'Demo Inputs'!$A$6:$A$59,$A$5,'Demo Inputs'!$B$6:$B$59,C$6,'Demo Inputs'!$C$6:$C$59,$A10)</x:f>
        <x:v>21900</x:v>
      </x:c>
      <x:c r="D10" s="25" t="n">
        <x:f>B10-C10</x:f>
        <x:v>-100</x:v>
      </x:c>
      <x:c r="E10" s="22" t="n">
        <x:f>IF(C$7=0,"n.a.",C10/C$7)</x:f>
        <x:v>0.24013157894736842</x:v>
      </x:c>
      <x:c r="F10" s="2"/>
    </x:row>
    <x:row r="11" ht="23" customHeight="1">
      <x:c r="A11" s="2" t="str">
        <x:v>Marketplace commissions</x:v>
      </x:c>
      <x:c r="B11" s="24" t="n">
        <x:f>SUMIFS('Demo Inputs'!$D$6:$D$59,'Demo Inputs'!$A$6:$A$59,$A$5,'Demo Inputs'!$B$6:$B$59,B$6,'Demo Inputs'!$C$6:$C$59,$A11)</x:f>
        <x:v>13300</x:v>
      </x:c>
      <x:c r="C11" s="24" t="n">
        <x:f>SUMIFS('Demo Inputs'!$D$6:$D$59,'Demo Inputs'!$A$6:$A$59,$A$5,'Demo Inputs'!$B$6:$B$59,C$6,'Demo Inputs'!$C$6:$C$59,$A11)</x:f>
        <x:v>11400</x:v>
      </x:c>
      <x:c r="D11" s="25" t="n">
        <x:f>B11-C11</x:f>
        <x:v>1900</x:v>
      </x:c>
      <x:c r="E11" s="22" t="n">
        <x:f>IF(C$7=0,"n.a.",C11/C$7)</x:f>
        <x:v>0.125</x:v>
      </x:c>
      <x:c r="F11" s="2"/>
    </x:row>
    <x:row r="12" ht="23" customHeight="1">
      <x:c r="A12" s="2" t="str">
        <x:v>Advertising</x:v>
      </x:c>
      <x:c r="B12" s="24" t="n">
        <x:f>SUMIFS('Demo Inputs'!$D$6:$D$59,'Demo Inputs'!$A$6:$A$59,$A$5,'Demo Inputs'!$B$6:$B$59,B$6,'Demo Inputs'!$C$6:$C$59,$A12)</x:f>
        <x:v>4200</x:v>
      </x:c>
      <x:c r="C12" s="24" t="n">
        <x:f>SUMIFS('Demo Inputs'!$D$6:$D$59,'Demo Inputs'!$A$6:$A$59,$A$5,'Demo Inputs'!$B$6:$B$59,C$6,'Demo Inputs'!$C$6:$C$59,$A12)</x:f>
        <x:v>3800</x:v>
      </x:c>
      <x:c r="D12" s="25" t="n">
        <x:f>B12-C12</x:f>
        <x:v>400</x:v>
      </x:c>
      <x:c r="E12" s="22" t="n">
        <x:f>IF(C$7=0,"n.a.",C12/C$7)</x:f>
        <x:v>0.041666666666666664</x:v>
      </x:c>
      <x:c r="F12" s="2"/>
    </x:row>
    <x:row r="13" ht="23" customHeight="1">
      <x:c r="A13" s="2" t="str">
        <x:v>Utilities</x:v>
      </x:c>
      <x:c r="B13" s="24" t="n">
        <x:f>SUMIFS('Demo Inputs'!$D$6:$D$59,'Demo Inputs'!$A$6:$A$59,$A$5,'Demo Inputs'!$B$6:$B$59,B$6,'Demo Inputs'!$C$6:$C$59,$A13)</x:f>
        <x:v>2450</x:v>
      </x:c>
      <x:c r="C13" s="24" t="n">
        <x:f>SUMIFS('Demo Inputs'!$D$6:$D$59,'Demo Inputs'!$A$6:$A$59,$A$5,'Demo Inputs'!$B$6:$B$59,C$6,'Demo Inputs'!$C$6:$C$59,$A13)</x:f>
        <x:v>2540</x:v>
      </x:c>
      <x:c r="D13" s="25" t="n">
        <x:f>B13-C13</x:f>
        <x:v>-90</x:v>
      </x:c>
      <x:c r="E13" s="22" t="n">
        <x:f>IF(C$7=0,"n.a.",C13/C$7)</x:f>
        <x:v>0.027850877192982456</x:v>
      </x:c>
      <x:c r="F13" s="2"/>
    </x:row>
    <x:row r="14" ht="23" customHeight="1">
      <x:c r="A14" s="2" t="str">
        <x:v>Transportation</x:v>
      </x:c>
      <x:c r="B14" s="24" t="n">
        <x:f>SUMIFS('Demo Inputs'!$D$6:$D$59,'Demo Inputs'!$A$6:$A$59,$A$5,'Demo Inputs'!$B$6:$B$59,B$6,'Demo Inputs'!$C$6:$C$59,$A14)</x:f>
        <x:v>700</x:v>
      </x:c>
      <x:c r="C14" s="24" t="n">
        <x:f>SUMIFS('Demo Inputs'!$D$6:$D$59,'Demo Inputs'!$A$6:$A$59,$A$5,'Demo Inputs'!$B$6:$B$59,C$6,'Demo Inputs'!$C$6:$C$59,$A14)</x:f>
        <x:v>760</x:v>
      </x:c>
      <x:c r="D14" s="25" t="n">
        <x:f>B14-C14</x:f>
        <x:v>-60</x:v>
      </x:c>
      <x:c r="E14" s="22" t="n">
        <x:f>IF(C$7=0,"n.a.",C14/C$7)</x:f>
        <x:v>0.008333333333333333</x:v>
      </x:c>
      <x:c r="F14" s="2"/>
    </x:row>
    <x:row r="15" ht="23" customHeight="1">
      <x:c r="A15" s="2" t="str">
        <x:v>Other operating expenses</x:v>
      </x:c>
      <x:c r="B15" s="24" t="n">
        <x:f>SUMIFS('Demo Inputs'!$D$6:$D$59,'Demo Inputs'!$A$6:$A$59,$A$5,'Demo Inputs'!$B$6:$B$59,B$6,'Demo Inputs'!$C$6:$C$59,$A15)</x:f>
        <x:v>18400</x:v>
      </x:c>
      <x:c r="C15" s="24" t="n">
        <x:f>SUMIFS('Demo Inputs'!$D$6:$D$59,'Demo Inputs'!$A$6:$A$59,$A$5,'Demo Inputs'!$B$6:$B$59,C$6,'Demo Inputs'!$C$6:$C$59,$A15)</x:f>
        <x:v>18600</x:v>
      </x:c>
      <x:c r="D15" s="25" t="n">
        <x:f>B15-C15</x:f>
        <x:v>-200</x:v>
      </x:c>
      <x:c r="E15" s="22" t="n">
        <x:f>IF(C$7=0,"n.a.",C15/C$7)</x:f>
        <x:v>0.20394736842105263</x:v>
      </x:c>
      <x:c r="F15" s="2"/>
    </x:row>
    <x:row r="16" ht="23" customHeight="1">
      <x:c r="A16" s="21" t="str">
        <x:v>Operating result</x:v>
      </x:c>
      <x:c r="B16" s="26" t="n">
        <x:f>B7-SUM(B8:B15)</x:f>
        <x:v>5650</x:v>
      </x:c>
      <x:c r="C16" s="26" t="n">
        <x:f>C7-SUM(C8:C15)</x:f>
        <x:v>2560</x:v>
      </x:c>
      <x:c r="D16" s="26" t="n">
        <x:f>C16-B16</x:f>
        <x:v>-3090</x:v>
      </x:c>
      <x:c r="E16" s="27" t="n">
        <x:f>IF(C7=0,"n.a.",C16/C7)</x:f>
        <x:v>0.028070175438596492</x:v>
      </x:c>
      <x:c r="F16" s="21"/>
    </x:row>
    <x:row r="17" ht="23" customHeight="1">
      <x:c r="A17" s="2" t="str">
        <x:v>Operating result margin</x:v>
      </x:c>
      <x:c r="B17" s="22" t="n">
        <x:f>IF(B7=0,"n.a.",B16/B7)</x:f>
        <x:v>0.05947368421052632</x:v>
      </x:c>
      <x:c r="C17" s="22" t="n">
        <x:f>IF(C7=0,"n.a.",C16/C7)</x:f>
        <x:v>0.028070175438596492</x:v>
      </x:c>
      <x:c r="D17" s="23" t="n">
        <x:f>100*(C17-B17)</x:f>
        <x:v>-3.140350877192982</x:v>
      </x:c>
      <x:c r="E17" s="2"/>
      <x:c r="F17" s="2" t="str">
        <x:v>Change in percentage points</x:v>
      </x:c>
    </x:row>
    <x:row r="18" ht="23" customHeight="1">
      <x:c r="A18" s="2" t="str">
        <x:v>Sales per day</x:v>
      </x:c>
      <x:c r="B18" s="25" t="n">
        <x:f>B7/31</x:f>
        <x:v>3064.516129032258</x:v>
      </x:c>
      <x:c r="C18" s="25" t="n">
        <x:f>C7/30</x:f>
        <x:v>3040</x:v>
      </x:c>
      <x:c r="D18" s="25" t="n">
        <x:f>C18-B18</x:f>
        <x:v>-24.51612903225805</x:v>
      </x:c>
      <x:c r="E18" s="2"/>
      <x:c r="F18" s="2" t="str">
        <x:v>31 days versus 30 days</x:v>
      </x:c>
    </x:row>
    <x:row r="19" ht="23" customHeight="1">
      <x:c r="A19" s="2"/>
      <x:c r="B19" s="2"/>
      <x:c r="C19" s="2"/>
      <x:c r="D19" s="2"/>
      <x:c r="E19" s="2"/>
      <x:c r="F19" s="2"/>
    </x:row>
    <x:row r="20" ht="23" customHeight="1">
      <x:c r="A20" s="2"/>
      <x:c r="B20" s="2"/>
      <x:c r="C20" s="2"/>
      <x:c r="D20" s="2"/>
      <x:c r="E20" s="2"/>
      <x:c r="F20" s="2"/>
    </x:row>
    <x:row r="21" ht="23" customHeight="1">
      <x:c r="A21" s="2"/>
      <x:c r="B21" s="2"/>
      <x:c r="C21" s="2"/>
      <x:c r="D21" s="2"/>
      <x:c r="E21" s="2"/>
      <x:c r="F21" s="2"/>
    </x:row>
    <x:row r="22" ht="23" customHeight="1">
      <x:c r="A22" s="2"/>
      <x:c r="B22" s="2"/>
      <x:c r="C22" s="2"/>
      <x:c r="D22" s="2"/>
      <x:c r="E22" s="2"/>
      <x:c r="F22" s="2"/>
    </x:row>
    <x:row r="23" ht="23" customHeight="1">
      <x:c r="A23" s="2"/>
      <x:c r="B23" s="2"/>
      <x:c r="C23" s="2"/>
      <x:c r="D23" s="2"/>
      <x:c r="E23" s="2"/>
      <x:c r="F23" s="2"/>
    </x:row>
    <x:row r="24" ht="23" customHeight="1">
      <x:c r="A24" s="17" t="str">
        <x:v>Store B</x:v>
      </x:c>
      <x:c r="B24" s="2"/>
      <x:c r="C24" s="2"/>
      <x:c r="D24" s="2"/>
      <x:c r="E24" s="2"/>
      <x:c r="F24" s="2"/>
    </x:row>
    <x:row r="25" ht="35" customHeight="1">
      <x:c r="A25" s="8" t="str">
        <x:v>Metric</x:v>
      </x:c>
      <x:c r="B25" s="8" t="str">
        <x:v>Period 1</x:v>
      </x:c>
      <x:c r="C25" s="8" t="str">
        <x:v>Period 2</x:v>
      </x:c>
      <x:c r="D25" s="8" t="str">
        <x:v>Profit impact</x:v>
      </x:c>
      <x:c r="E25" s="8" t="str">
        <x:v>Period 2 / sales</x:v>
      </x:c>
      <x:c r="F25" s="8" t="str">
        <x:v>Meaning</x:v>
      </x:c>
    </x:row>
    <x:row r="26" ht="23" customHeight="1">
      <x:c r="A26" s="2" t="str">
        <x:v>Revenue</x:v>
      </x:c>
      <x:c r="B26" s="24" t="n">
        <x:f>SUMIFS('Demo Inputs'!$D$6:$D$59,'Demo Inputs'!$A$6:$A$59,$A$24,'Demo Inputs'!$B$6:$B$59,B$25,'Demo Inputs'!$C$6:$C$59,$A26)</x:f>
        <x:v>58000</x:v>
      </x:c>
      <x:c r="C26" s="24" t="n">
        <x:f>SUMIFS('Demo Inputs'!$D$6:$D$59,'Demo Inputs'!$A$6:$A$59,$A$24,'Demo Inputs'!$B$6:$B$59,C$25,'Demo Inputs'!$C$6:$C$59,$A26)</x:f>
        <x:v>63600</x:v>
      </x:c>
      <x:c r="D26" s="25" t="n">
        <x:f>C26-B26</x:f>
        <x:v>5600</x:v>
      </x:c>
      <x:c r="E26" s="22" t="n">
        <x:f>IF(C$26=0,"n.a.",C26/C$26)</x:f>
        <x:v>1</x:v>
      </x:c>
      <x:c r="F26" s="2"/>
    </x:row>
    <x:row r="27" ht="23" customHeight="1">
      <x:c r="A27" s="2" t="str">
        <x:v>Food and beverage</x:v>
      </x:c>
      <x:c r="B27" s="24" t="n">
        <x:f>SUMIFS('Demo Inputs'!$D$6:$D$59,'Demo Inputs'!$A$6:$A$59,$A$24,'Demo Inputs'!$B$6:$B$59,B$25,'Demo Inputs'!$C$6:$C$59,$A27)</x:f>
        <x:v>16000</x:v>
      </x:c>
      <x:c r="C27" s="24" t="n">
        <x:f>SUMIFS('Demo Inputs'!$D$6:$D$59,'Demo Inputs'!$A$6:$A$59,$A$24,'Demo Inputs'!$B$6:$B$59,C$25,'Demo Inputs'!$C$6:$C$59,$A27)</x:f>
        <x:v>17100</x:v>
      </x:c>
      <x:c r="D27" s="25" t="n">
        <x:f>B27-C27</x:f>
        <x:v>-1100</x:v>
      </x:c>
      <x:c r="E27" s="22" t="n">
        <x:f>IF(C$26=0,"n.a.",C27/C$26)</x:f>
        <x:v>0.2688679245283019</x:v>
      </x:c>
      <x:c r="F27" s="2"/>
    </x:row>
    <x:row r="28" ht="23" customHeight="1">
      <x:c r="A28" s="2" t="str">
        <x:v>Central kitchen fees</x:v>
      </x:c>
      <x:c r="B28" s="24" t="n">
        <x:f>SUMIFS('Demo Inputs'!$D$6:$D$59,'Demo Inputs'!$A$6:$A$59,$A$24,'Demo Inputs'!$B$6:$B$59,B$25,'Demo Inputs'!$C$6:$C$59,$A28)</x:f>
        <x:v>2500</x:v>
      </x:c>
      <x:c r="C28" s="24" t="n">
        <x:f>SUMIFS('Demo Inputs'!$D$6:$D$59,'Demo Inputs'!$A$6:$A$59,$A$24,'Demo Inputs'!$B$6:$B$59,C$25,'Demo Inputs'!$C$6:$C$59,$A28)</x:f>
        <x:v>2700</x:v>
      </x:c>
      <x:c r="D28" s="25" t="n">
        <x:f>B28-C28</x:f>
        <x:v>-200</x:v>
      </x:c>
      <x:c r="E28" s="22" t="n">
        <x:f>IF(C$26=0,"n.a.",C28/C$26)</x:f>
        <x:v>0.04245283018867924</x:v>
      </x:c>
      <x:c r="F28" s="2"/>
    </x:row>
    <x:row r="29" ht="23" customHeight="1">
      <x:c r="A29" s="2" t="str">
        <x:v>Restaurant labor</x:v>
      </x:c>
      <x:c r="B29" s="24" t="n">
        <x:f>SUMIFS('Demo Inputs'!$D$6:$D$59,'Demo Inputs'!$A$6:$A$59,$A$24,'Demo Inputs'!$B$6:$B$59,B$25,'Demo Inputs'!$C$6:$C$59,$A29)</x:f>
        <x:v>14500</x:v>
      </x:c>
      <x:c r="C29" s="24" t="n">
        <x:f>SUMIFS('Demo Inputs'!$D$6:$D$59,'Demo Inputs'!$A$6:$A$59,$A$24,'Demo Inputs'!$B$6:$B$59,C$25,'Demo Inputs'!$C$6:$C$59,$A29)</x:f>
        <x:v>16300</x:v>
      </x:c>
      <x:c r="D29" s="25" t="n">
        <x:f>B29-C29</x:f>
        <x:v>-1800</x:v>
      </x:c>
      <x:c r="E29" s="22" t="n">
        <x:f>IF(C$26=0,"n.a.",C29/C$26)</x:f>
        <x:v>0.2562893081761006</x:v>
      </x:c>
      <x:c r="F29" s="2"/>
    </x:row>
    <x:row r="30" ht="23" customHeight="1">
      <x:c r="A30" s="2" t="str">
        <x:v>Marketplace commissions</x:v>
      </x:c>
      <x:c r="B30" s="24" t="n">
        <x:f>SUMIFS('Demo Inputs'!$D$6:$D$59,'Demo Inputs'!$A$6:$A$59,$A$24,'Demo Inputs'!$B$6:$B$59,B$25,'Demo Inputs'!$C$6:$C$59,$A30)</x:f>
        <x:v>7500</x:v>
      </x:c>
      <x:c r="C30" s="24" t="n">
        <x:f>SUMIFS('Demo Inputs'!$D$6:$D$59,'Demo Inputs'!$A$6:$A$59,$A$24,'Demo Inputs'!$B$6:$B$59,C$25,'Demo Inputs'!$C$6:$C$59,$A30)</x:f>
        <x:v>6800</x:v>
      </x:c>
      <x:c r="D30" s="25" t="n">
        <x:f>B30-C30</x:f>
        <x:v>700</x:v>
      </x:c>
      <x:c r="E30" s="22" t="n">
        <x:f>IF(C$26=0,"n.a.",C30/C$26)</x:f>
        <x:v>0.1069182389937107</x:v>
      </x:c>
      <x:c r="F30" s="2"/>
    </x:row>
    <x:row r="31" ht="23" customHeight="1">
      <x:c r="A31" s="2" t="str">
        <x:v>Advertising</x:v>
      </x:c>
      <x:c r="B31" s="24" t="n">
        <x:f>SUMIFS('Demo Inputs'!$D$6:$D$59,'Demo Inputs'!$A$6:$A$59,$A$24,'Demo Inputs'!$B$6:$B$59,B$25,'Demo Inputs'!$C$6:$C$59,$A31)</x:f>
        <x:v>3000</x:v>
      </x:c>
      <x:c r="C31" s="24" t="n">
        <x:f>SUMIFS('Demo Inputs'!$D$6:$D$59,'Demo Inputs'!$A$6:$A$59,$A$24,'Demo Inputs'!$B$6:$B$59,C$25,'Demo Inputs'!$C$6:$C$59,$A31)</x:f>
        <x:v>3200</x:v>
      </x:c>
      <x:c r="D31" s="25" t="n">
        <x:f>B31-C31</x:f>
        <x:v>-200</x:v>
      </x:c>
      <x:c r="E31" s="22" t="n">
        <x:f>IF(C$26=0,"n.a.",C31/C$26)</x:f>
        <x:v>0.050314465408805034</x:v>
      </x:c>
      <x:c r="F31" s="2"/>
    </x:row>
    <x:row r="32" ht="23" customHeight="1">
      <x:c r="A32" s="2" t="str">
        <x:v>Utilities</x:v>
      </x:c>
      <x:c r="B32" s="24" t="n">
        <x:f>SUMIFS('Demo Inputs'!$D$6:$D$59,'Demo Inputs'!$A$6:$A$59,$A$24,'Demo Inputs'!$B$6:$B$59,B$25,'Demo Inputs'!$C$6:$C$59,$A32)</x:f>
        <x:v>1000</x:v>
      </x:c>
      <x:c r="C32" s="24" t="n">
        <x:f>SUMIFS('Demo Inputs'!$D$6:$D$59,'Demo Inputs'!$A$6:$A$59,$A$24,'Demo Inputs'!$B$6:$B$59,C$25,'Demo Inputs'!$C$6:$C$59,$A32)</x:f>
        <x:v>1200</x:v>
      </x:c>
      <x:c r="D32" s="25" t="n">
        <x:f>B32-C32</x:f>
        <x:v>-200</x:v>
      </x:c>
      <x:c r="E32" s="22" t="n">
        <x:f>IF(C$26=0,"n.a.",C32/C$26)</x:f>
        <x:v>0.018867924528301886</x:v>
      </x:c>
      <x:c r="F32" s="2"/>
    </x:row>
    <x:row r="33" ht="23" customHeight="1">
      <x:c r="A33" s="2" t="str">
        <x:v>Transportation</x:v>
      </x:c>
      <x:c r="B33" s="24" t="n">
        <x:f>SUMIFS('Demo Inputs'!$D$6:$D$59,'Demo Inputs'!$A$6:$A$59,$A$24,'Demo Inputs'!$B$6:$B$59,B$25,'Demo Inputs'!$C$6:$C$59,$A33)</x:f>
        <x:v>600</x:v>
      </x:c>
      <x:c r="C33" s="24" t="n">
        <x:f>SUMIFS('Demo Inputs'!$D$6:$D$59,'Demo Inputs'!$A$6:$A$59,$A$24,'Demo Inputs'!$B$6:$B$59,C$25,'Demo Inputs'!$C$6:$C$59,$A33)</x:f>
        <x:v>600</x:v>
      </x:c>
      <x:c r="D33" s="25" t="n">
        <x:f>B33-C33</x:f>
        <x:v>0</x:v>
      </x:c>
      <x:c r="E33" s="22" t="n">
        <x:f>IF(C$26=0,"n.a.",C33/C$26)</x:f>
        <x:v>0.009433962264150943</x:v>
      </x:c>
      <x:c r="F33" s="2"/>
    </x:row>
    <x:row r="34" ht="23" customHeight="1">
      <x:c r="A34" s="2" t="str">
        <x:v>Other operating expenses</x:v>
      </x:c>
      <x:c r="B34" s="24" t="n">
        <x:f>SUMIFS('Demo Inputs'!$D$6:$D$59,'Demo Inputs'!$A$6:$A$59,$A$24,'Demo Inputs'!$B$6:$B$59,B$25,'Demo Inputs'!$C$6:$C$59,$A34)</x:f>
        <x:v>15000</x:v>
      </x:c>
      <x:c r="C34" s="24" t="n">
        <x:f>SUMIFS('Demo Inputs'!$D$6:$D$59,'Demo Inputs'!$A$6:$A$59,$A$24,'Demo Inputs'!$B$6:$B$59,C$25,'Demo Inputs'!$C$6:$C$59,$A34)</x:f>
        <x:v>15200</x:v>
      </x:c>
      <x:c r="D34" s="25" t="n">
        <x:f>B34-C34</x:f>
        <x:v>-200</x:v>
      </x:c>
      <x:c r="E34" s="22" t="n">
        <x:f>IF(C$26=0,"n.a.",C34/C$26)</x:f>
        <x:v>0.2389937106918239</x:v>
      </x:c>
      <x:c r="F34" s="2"/>
    </x:row>
    <x:row r="35" ht="23" customHeight="1">
      <x:c r="A35" s="21" t="str">
        <x:v>Operating result</x:v>
      </x:c>
      <x:c r="B35" s="26" t="n">
        <x:f>B26-SUM(B27:B34)</x:f>
        <x:v>-2100</x:v>
      </x:c>
      <x:c r="C35" s="26" t="n">
        <x:f>C26-SUM(C27:C34)</x:f>
        <x:v>500</x:v>
      </x:c>
      <x:c r="D35" s="26" t="n">
        <x:f>C35-B35</x:f>
        <x:v>2600</x:v>
      </x:c>
      <x:c r="E35" s="27" t="n">
        <x:f>IF(C26=0,"n.a.",C35/C26)</x:f>
        <x:v>0.007861635220125786</x:v>
      </x:c>
      <x:c r="F35" s="21"/>
    </x:row>
    <x:row r="36" ht="23" customHeight="1">
      <x:c r="A36" s="2" t="str">
        <x:v>Operating result margin</x:v>
      </x:c>
      <x:c r="B36" s="22" t="n">
        <x:f>IF(B26=0,"n.a.",B35/B26)</x:f>
        <x:v>-0.03620689655172414</x:v>
      </x:c>
      <x:c r="C36" s="22" t="n">
        <x:f>IF(C26=0,"n.a.",C35/C26)</x:f>
        <x:v>0.007861635220125786</x:v>
      </x:c>
      <x:c r="D36" s="23" t="n">
        <x:f>100*(C36-B36)</x:f>
        <x:v>4.406853177184993</x:v>
      </x:c>
      <x:c r="E36" s="2"/>
      <x:c r="F36" s="2" t="str">
        <x:v>Change in percentage points</x:v>
      </x:c>
    </x:row>
    <x:row r="37" ht="23" customHeight="1">
      <x:c r="A37" s="2" t="str">
        <x:v>Sales per day</x:v>
      </x:c>
      <x:c r="B37" s="25" t="n">
        <x:f>B26/31</x:f>
        <x:v>1870.967741935484</x:v>
      </x:c>
      <x:c r="C37" s="25" t="n">
        <x:f>C26/30</x:f>
        <x:v>2120</x:v>
      </x:c>
      <x:c r="D37" s="25" t="n">
        <x:f>C37-B37</x:f>
        <x:v>249.0322580645161</x:v>
      </x:c>
      <x:c r="E37" s="2"/>
      <x:c r="F37" s="2" t="str">
        <x:v>31 days versus 30 days</x:v>
      </x:c>
    </x:row>
    <x:row r="38" ht="23" customHeight="1">
      <x:c r="A38" s="2"/>
      <x:c r="B38" s="2"/>
      <x:c r="C38" s="2"/>
      <x:c r="D38" s="2"/>
      <x:c r="E38" s="2"/>
      <x:c r="F38" s="2"/>
    </x:row>
    <x:row r="39" ht="23" customHeight="1">
      <x:c r="A39" s="2"/>
      <x:c r="B39" s="2"/>
      <x:c r="C39" s="2"/>
      <x:c r="D39" s="2"/>
      <x:c r="E39" s="2"/>
      <x:c r="F39" s="2"/>
    </x:row>
    <x:row r="40" ht="23" customHeight="1">
      <x:c r="A40" s="2"/>
      <x:c r="B40" s="2"/>
      <x:c r="C40" s="2"/>
      <x:c r="D40" s="2"/>
      <x:c r="E40" s="2"/>
      <x:c r="F40" s="2"/>
    </x:row>
    <x:row r="41" ht="23" customHeight="1">
      <x:c r="A41" s="2"/>
      <x:c r="B41" s="2"/>
      <x:c r="C41" s="2"/>
      <x:c r="D41" s="2"/>
      <x:c r="E41" s="2"/>
      <x:c r="F41" s="2"/>
    </x:row>
    <x:row r="42" ht="23" customHeight="1">
      <x:c r="A42" s="2"/>
      <x:c r="B42" s="2"/>
      <x:c r="C42" s="2"/>
      <x:c r="D42" s="2"/>
      <x:c r="E42" s="2"/>
      <x:c r="F42" s="2"/>
    </x:row>
    <x:row r="43" ht="23" customHeight="1">
      <x:c r="A43" s="17" t="str">
        <x:v>Store C</x:v>
      </x:c>
      <x:c r="B43" s="2"/>
      <x:c r="C43" s="2"/>
      <x:c r="D43" s="2"/>
      <x:c r="E43" s="2"/>
      <x:c r="F43" s="2"/>
    </x:row>
    <x:row r="44" ht="35" customHeight="1">
      <x:c r="A44" s="8" t="str">
        <x:v>Metric</x:v>
      </x:c>
      <x:c r="B44" s="8" t="str">
        <x:v>Period 1</x:v>
      </x:c>
      <x:c r="C44" s="8" t="str">
        <x:v>Period 2</x:v>
      </x:c>
      <x:c r="D44" s="8" t="str">
        <x:v>Profit impact</x:v>
      </x:c>
      <x:c r="E44" s="8" t="str">
        <x:v>Period 2 / sales</x:v>
      </x:c>
      <x:c r="F44" s="8" t="str">
        <x:v>Meaning</x:v>
      </x:c>
    </x:row>
    <x:row r="45" ht="23" customHeight="1">
      <x:c r="A45" s="2" t="str">
        <x:v>Revenue</x:v>
      </x:c>
      <x:c r="B45" s="24" t="n">
        <x:f>SUMIFS('Demo Inputs'!$D$6:$D$59,'Demo Inputs'!$A$6:$A$59,$A$43,'Demo Inputs'!$B$6:$B$59,B$44,'Demo Inputs'!$C$6:$C$59,$A45)</x:f>
        <x:v>132000</x:v>
      </x:c>
      <x:c r="C45" s="24" t="n">
        <x:f>SUMIFS('Demo Inputs'!$D$6:$D$59,'Demo Inputs'!$A$6:$A$59,$A$43,'Demo Inputs'!$B$6:$B$59,C$44,'Demo Inputs'!$C$6:$C$59,$A45)</x:f>
        <x:v>136500</x:v>
      </x:c>
      <x:c r="D45" s="25" t="n">
        <x:f>C45-B45</x:f>
        <x:v>4500</x:v>
      </x:c>
      <x:c r="E45" s="22" t="n">
        <x:f>IF(C$45=0,"n.a.",C45/C$45)</x:f>
        <x:v>1</x:v>
      </x:c>
      <x:c r="F45" s="2"/>
    </x:row>
    <x:row r="46" ht="23" customHeight="1">
      <x:c r="A46" s="2" t="str">
        <x:v>Food and beverage</x:v>
      </x:c>
      <x:c r="B46" s="24" t="n">
        <x:f>SUMIFS('Demo Inputs'!$D$6:$D$59,'Demo Inputs'!$A$6:$A$59,$A$43,'Demo Inputs'!$B$6:$B$59,B$44,'Demo Inputs'!$C$6:$C$59,$A46)</x:f>
        <x:v>33000</x:v>
      </x:c>
      <x:c r="C46" s="24" t="n">
        <x:f>SUMIFS('Demo Inputs'!$D$6:$D$59,'Demo Inputs'!$A$6:$A$59,$A$43,'Demo Inputs'!$B$6:$B$59,C$44,'Demo Inputs'!$C$6:$C$59,$A46)</x:f>
        <x:v>35000</x:v>
      </x:c>
      <x:c r="D46" s="25" t="n">
        <x:f>B46-C46</x:f>
        <x:v>-2000</x:v>
      </x:c>
      <x:c r="E46" s="22" t="n">
        <x:f>IF(C$45=0,"n.a.",C46/C$45)</x:f>
        <x:v>0.2564102564102564</x:v>
      </x:c>
      <x:c r="F46" s="2"/>
    </x:row>
    <x:row r="47" ht="23" customHeight="1">
      <x:c r="A47" s="2" t="str">
        <x:v>Central kitchen fees</x:v>
      </x:c>
      <x:c r="B47" s="24" t="n">
        <x:f>SUMIFS('Demo Inputs'!$D$6:$D$59,'Demo Inputs'!$A$6:$A$59,$A$43,'Demo Inputs'!$B$6:$B$59,B$44,'Demo Inputs'!$C$6:$C$59,$A47)</x:f>
        <x:v>5200</x:v>
      </x:c>
      <x:c r="C47" s="24" t="n">
        <x:f>SUMIFS('Demo Inputs'!$D$6:$D$59,'Demo Inputs'!$A$6:$A$59,$A$43,'Demo Inputs'!$B$6:$B$59,C$44,'Demo Inputs'!$C$6:$C$59,$A47)</x:f>
        <x:v>5500</x:v>
      </x:c>
      <x:c r="D47" s="25" t="n">
        <x:f>B47-C47</x:f>
        <x:v>-300</x:v>
      </x:c>
      <x:c r="E47" s="22" t="n">
        <x:f>IF(C$45=0,"n.a.",C47/C$45)</x:f>
        <x:v>0.040293040293040296</x:v>
      </x:c>
      <x:c r="F47" s="2"/>
    </x:row>
    <x:row r="48" ht="23" customHeight="1">
      <x:c r="A48" s="2" t="str">
        <x:v>Restaurant labor</x:v>
      </x:c>
      <x:c r="B48" s="24" t="n">
        <x:f>SUMIFS('Demo Inputs'!$D$6:$D$59,'Demo Inputs'!$A$6:$A$59,$A$43,'Demo Inputs'!$B$6:$B$59,B$44,'Demo Inputs'!$C$6:$C$59,$A48)</x:f>
        <x:v>27000</x:v>
      </x:c>
      <x:c r="C48" s="24" t="n">
        <x:f>SUMIFS('Demo Inputs'!$D$6:$D$59,'Demo Inputs'!$A$6:$A$59,$A$43,'Demo Inputs'!$B$6:$B$59,C$44,'Demo Inputs'!$C$6:$C$59,$A48)</x:f>
        <x:v>28000</x:v>
      </x:c>
      <x:c r="D48" s="25" t="n">
        <x:f>B48-C48</x:f>
        <x:v>-1000</x:v>
      </x:c>
      <x:c r="E48" s="22" t="n">
        <x:f>IF(C$45=0,"n.a.",C48/C$45)</x:f>
        <x:v>0.20512820512820512</x:v>
      </x:c>
      <x:c r="F48" s="2"/>
    </x:row>
    <x:row r="49" ht="23" customHeight="1">
      <x:c r="A49" s="2" t="str">
        <x:v>Marketplace commissions</x:v>
      </x:c>
      <x:c r="B49" s="24" t="n">
        <x:f>SUMIFS('Demo Inputs'!$D$6:$D$59,'Demo Inputs'!$A$6:$A$59,$A$43,'Demo Inputs'!$B$6:$B$59,B$44,'Demo Inputs'!$C$6:$C$59,$A49)</x:f>
        <x:v>17160</x:v>
      </x:c>
      <x:c r="C49" s="24" t="n">
        <x:f>SUMIFS('Demo Inputs'!$D$6:$D$59,'Demo Inputs'!$A$6:$A$59,$A$43,'Demo Inputs'!$B$6:$B$59,C$44,'Demo Inputs'!$C$6:$C$59,$A49)</x:f>
        <x:v>16380</x:v>
      </x:c>
      <x:c r="D49" s="25" t="n">
        <x:f>B49-C49</x:f>
        <x:v>780</x:v>
      </x:c>
      <x:c r="E49" s="22" t="n">
        <x:f>IF(C$45=0,"n.a.",C49/C$45)</x:f>
        <x:v>0.12</x:v>
      </x:c>
      <x:c r="F49" s="2"/>
    </x:row>
    <x:row r="50" ht="23" customHeight="1">
      <x:c r="A50" s="2" t="str">
        <x:v>Advertising</x:v>
      </x:c>
      <x:c r="B50" s="24" t="n">
        <x:f>SUMIFS('Demo Inputs'!$D$6:$D$59,'Demo Inputs'!$A$6:$A$59,$A$43,'Demo Inputs'!$B$6:$B$59,B$44,'Demo Inputs'!$C$6:$C$59,$A50)</x:f>
        <x:v>5400</x:v>
      </x:c>
      <x:c r="C50" s="24" t="n">
        <x:f>SUMIFS('Demo Inputs'!$D$6:$D$59,'Demo Inputs'!$A$6:$A$59,$A$43,'Demo Inputs'!$B$6:$B$59,C$44,'Demo Inputs'!$C$6:$C$59,$A50)</x:f>
        <x:v>5100</x:v>
      </x:c>
      <x:c r="D50" s="25" t="n">
        <x:f>B50-C50</x:f>
        <x:v>300</x:v>
      </x:c>
      <x:c r="E50" s="22" t="n">
        <x:f>IF(C$45=0,"n.a.",C50/C$45)</x:f>
        <x:v>0.03736263736263736</x:v>
      </x:c>
      <x:c r="F50" s="2"/>
    </x:row>
    <x:row r="51" ht="23" customHeight="1">
      <x:c r="A51" s="2" t="str">
        <x:v>Utilities</x:v>
      </x:c>
      <x:c r="B51" s="24" t="n">
        <x:f>SUMIFS('Demo Inputs'!$D$6:$D$59,'Demo Inputs'!$A$6:$A$59,$A$43,'Demo Inputs'!$B$6:$B$59,B$44,'Demo Inputs'!$C$6:$C$59,$A51)</x:f>
        <x:v>3300</x:v>
      </x:c>
      <x:c r="C51" s="24" t="n">
        <x:f>SUMIFS('Demo Inputs'!$D$6:$D$59,'Demo Inputs'!$A$6:$A$59,$A$43,'Demo Inputs'!$B$6:$B$59,C$44,'Demo Inputs'!$C$6:$C$59,$A51)</x:f>
        <x:v>3450</x:v>
      </x:c>
      <x:c r="D51" s="25" t="n">
        <x:f>B51-C51</x:f>
        <x:v>-150</x:v>
      </x:c>
      <x:c r="E51" s="22" t="n">
        <x:f>IF(C$45=0,"n.a.",C51/C$45)</x:f>
        <x:v>0.025274725274725275</x:v>
      </x:c>
      <x:c r="F51" s="2"/>
    </x:row>
    <x:row r="52" ht="23" customHeight="1">
      <x:c r="A52" s="2" t="str">
        <x:v>Transportation</x:v>
      </x:c>
      <x:c r="B52" s="24" t="n">
        <x:f>SUMIFS('Demo Inputs'!$D$6:$D$59,'Demo Inputs'!$A$6:$A$59,$A$43,'Demo Inputs'!$B$6:$B$59,B$44,'Demo Inputs'!$C$6:$C$59,$A52)</x:f>
        <x:v>700</x:v>
      </x:c>
      <x:c r="C52" s="24" t="n">
        <x:f>SUMIFS('Demo Inputs'!$D$6:$D$59,'Demo Inputs'!$A$6:$A$59,$A$43,'Demo Inputs'!$B$6:$B$59,C$44,'Demo Inputs'!$C$6:$C$59,$A52)</x:f>
        <x:v>720</x:v>
      </x:c>
      <x:c r="D52" s="25" t="n">
        <x:f>B52-C52</x:f>
        <x:v>-20</x:v>
      </x:c>
      <x:c r="E52" s="22" t="n">
        <x:f>IF(C$45=0,"n.a.",C52/C$45)</x:f>
        <x:v>0.005274725274725275</x:v>
      </x:c>
      <x:c r="F52" s="2"/>
    </x:row>
    <x:row r="53" ht="23" customHeight="1">
      <x:c r="A53" s="2" t="str">
        <x:v>Other operating expenses</x:v>
      </x:c>
      <x:c r="B53" s="24" t="n">
        <x:f>SUMIFS('Demo Inputs'!$D$6:$D$59,'Demo Inputs'!$A$6:$A$59,$A$43,'Demo Inputs'!$B$6:$B$59,B$44,'Demo Inputs'!$C$6:$C$59,$A53)</x:f>
        <x:v>21500</x:v>
      </x:c>
      <x:c r="C53" s="24" t="n">
        <x:f>SUMIFS('Demo Inputs'!$D$6:$D$59,'Demo Inputs'!$A$6:$A$59,$A$43,'Demo Inputs'!$B$6:$B$59,C$44,'Demo Inputs'!$C$6:$C$59,$A53)</x:f>
        <x:v>21700</x:v>
      </x:c>
      <x:c r="D53" s="25" t="n">
        <x:f>B53-C53</x:f>
        <x:v>-200</x:v>
      </x:c>
      <x:c r="E53" s="22" t="n">
        <x:f>IF(C$45=0,"n.a.",C53/C$45)</x:f>
        <x:v>0.15897435897435896</x:v>
      </x:c>
      <x:c r="F53" s="2"/>
    </x:row>
    <x:row r="54" ht="23" customHeight="1">
      <x:c r="A54" s="21" t="str">
        <x:v>Operating result</x:v>
      </x:c>
      <x:c r="B54" s="26" t="n">
        <x:f>B45-SUM(B46:B53)</x:f>
        <x:v>18740</x:v>
      </x:c>
      <x:c r="C54" s="26" t="n">
        <x:f>C45-SUM(C46:C53)</x:f>
        <x:v>20650</x:v>
      </x:c>
      <x:c r="D54" s="26" t="n">
        <x:f>C54-B54</x:f>
        <x:v>1910</x:v>
      </x:c>
      <x:c r="E54" s="27" t="n">
        <x:f>IF(C45=0,"n.a.",C54/C45)</x:f>
        <x:v>0.15128205128205127</x:v>
      </x:c>
      <x:c r="F54" s="21"/>
    </x:row>
    <x:row r="55" ht="23" customHeight="1">
      <x:c r="A55" s="2" t="str">
        <x:v>Operating result margin</x:v>
      </x:c>
      <x:c r="B55" s="22" t="n">
        <x:f>IF(B45=0,"n.a.",B54/B45)</x:f>
        <x:v>0.14196969696969697</x:v>
      </x:c>
      <x:c r="C55" s="22" t="n">
        <x:f>IF(C45=0,"n.a.",C54/C45)</x:f>
        <x:v>0.15128205128205127</x:v>
      </x:c>
      <x:c r="D55" s="23" t="n">
        <x:f>100*(C55-B55)</x:f>
        <x:v>0.9312354312354304</x:v>
      </x:c>
      <x:c r="E55" s="2"/>
      <x:c r="F55" s="2" t="str">
        <x:v>Change in percentage points</x:v>
      </x:c>
    </x:row>
    <x:row r="56" ht="23" customHeight="1">
      <x:c r="A56" s="2" t="str">
        <x:v>Sales per day</x:v>
      </x:c>
      <x:c r="B56" s="25" t="n">
        <x:f>B45/31</x:f>
        <x:v>4258.064516129032</x:v>
      </x:c>
      <x:c r="C56" s="25" t="n">
        <x:f>C45/30</x:f>
        <x:v>4550</x:v>
      </x:c>
      <x:c r="D56" s="25" t="n">
        <x:f>C56-B56</x:f>
        <x:v>291.9354838709678</x:v>
      </x:c>
      <x:c r="E56" s="2"/>
      <x:c r="F56" s="2" t="str">
        <x:v>31 days versus 30 days</x:v>
      </x:c>
    </x:row>
    <x:row r="57" ht="23" customHeight="1">
      <x:c r="A57" s="2"/>
      <x:c r="B57" s="2"/>
      <x:c r="C57" s="2"/>
      <x:c r="D57" s="2"/>
      <x:c r="E57" s="2"/>
      <x:c r="F57" s="2"/>
    </x:row>
    <x:row r="58" ht="23" customHeight="1">
      <x:c r="A58" s="2"/>
      <x:c r="B58" s="2"/>
      <x:c r="C58" s="2"/>
      <x:c r="D58" s="2"/>
      <x:c r="E58" s="2"/>
      <x:c r="F58" s="2"/>
    </x:row>
    <x:row r="59" ht="23" customHeight="1">
      <x:c r="A59" s="2"/>
      <x:c r="B59" s="2"/>
      <x:c r="C59" s="2"/>
      <x:c r="D59" s="2"/>
      <x:c r="E59" s="2"/>
      <x:c r="F59" s="2"/>
    </x:row>
    <x:row r="60" ht="23" customHeight="1">
      <x:c r="A60" s="2"/>
      <x:c r="B60" s="2"/>
      <x:c r="C60" s="2"/>
      <x:c r="D60" s="2"/>
      <x:c r="E60" s="2"/>
      <x:c r="F60" s="2"/>
    </x:row>
    <x:row r="61" ht="23" customHeight="1">
      <x:c r="A61" s="2"/>
      <x:c r="B61" s="2"/>
      <x:c r="C61" s="2"/>
      <x:c r="D61" s="2"/>
      <x:c r="E61" s="2"/>
      <x:c r="F61" s="2"/>
    </x:row>
    <x:row r="62" ht="23" customHeight="1">
      <x:c r="A62" s="2"/>
      <x:c r="B62" s="2"/>
      <x:c r="C62" s="2"/>
      <x:c r="D62" s="2"/>
      <x:c r="E62" s="2"/>
      <x:c r="F62" s="2"/>
    </x:row>
    <x:row r="63" ht="23" customHeight="1">
      <x:c r="A63" s="2"/>
      <x:c r="B63" s="2"/>
      <x:c r="C63" s="2"/>
      <x:c r="D63" s="2"/>
      <x:c r="E63" s="2"/>
      <x:c r="F63" s="2"/>
    </x:row>
    <x:row r="64" ht="23" customHeight="1">
      <x:c r="A64" s="2"/>
      <x:c r="B64" s="2"/>
      <x:c r="C64" s="2"/>
      <x:c r="D64" s="2"/>
      <x:c r="E64" s="2"/>
      <x:c r="F64" s="2"/>
    </x:row>
  </x:sheetData>
  <x:mergeCells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23" customHeight="1">
      <x:c r="A2" s="3" t="str">
        <x:v>Fictional monthly inputs</x:v>
      </x:c>
      <x:c r="B2" s="2"/>
      <x:c r="C2" s="2"/>
      <x:c r="D2" s="2"/>
      <x:c r="E2" s="2"/>
      <x:c r="F2" s="2"/>
    </x:row>
    <x:row r="3" ht="28" customHeight="1">
      <x:c r="A3" s="4" t="str">
        <x:v>Fictional demonstration data. All figures and business identifiers are invented.</x:v>
      </x:c>
      <x:c r="B3" s="4"/>
      <x:c r="C3" s="4"/>
      <x:c r="D3" s="4"/>
      <x:c r="E3" s="4"/>
      <x:c r="F3" s="4"/>
    </x:row>
    <x:row r="4" ht="23" customHeight="1">
      <x:c r="A4" s="2"/>
      <x:c r="B4" s="2"/>
      <x:c r="C4" s="2"/>
      <x:c r="D4" s="2"/>
      <x:c r="E4" s="2"/>
      <x:c r="F4" s="2"/>
    </x:row>
    <x:row r="5" ht="35" customHeight="1">
      <x:c r="A5" s="8" t="str">
        <x:v>Store</x:v>
      </x:c>
      <x:c r="B5" s="8" t="str">
        <x:v>Period</x:v>
      </x:c>
      <x:c r="C5" s="8" t="str">
        <x:v>Metric</x:v>
      </x:c>
      <x:c r="D5" s="8" t="str">
        <x:v>Amount</x:v>
      </x:c>
      <x:c r="E5" s="8" t="str">
        <x:v>Days in period</x:v>
      </x:c>
      <x:c r="F5" s="8" t="str">
        <x:v>Data basis</x:v>
      </x:c>
    </x:row>
    <x:row r="6" ht="23" customHeight="1">
      <x:c r="A6" s="2" t="str">
        <x:v>Store A</x:v>
      </x:c>
      <x:c r="B6" s="2" t="str">
        <x:v>Period 1</x:v>
      </x:c>
      <x:c r="C6" s="2" t="str">
        <x:v>Revenue</x:v>
      </x:c>
      <x:c r="D6" s="13" t="n">
        <x:v>95000</x:v>
      </x:c>
      <x:c r="E6" s="9" t="n">
        <x:v>31</x:v>
      </x:c>
      <x:c r="F6" s="2" t="str">
        <x:v>Synthetic input</x:v>
      </x:c>
    </x:row>
    <x:row r="7" ht="23" customHeight="1">
      <x:c r="A7" s="2" t="str">
        <x:v>Store A</x:v>
      </x:c>
      <x:c r="B7" s="2" t="str">
        <x:v>Period 1</x:v>
      </x:c>
      <x:c r="C7" s="2" t="str">
        <x:v>Food and beverage</x:v>
      </x:c>
      <x:c r="D7" s="13" t="n">
        <x:v>24700</x:v>
      </x:c>
      <x:c r="E7" s="9" t="n">
        <x:v>31</x:v>
      </x:c>
      <x:c r="F7" s="2" t="str">
        <x:v>Synthetic input</x:v>
      </x:c>
    </x:row>
    <x:row r="8" ht="23" customHeight="1">
      <x:c r="A8" s="2" t="str">
        <x:v>Store A</x:v>
      </x:c>
      <x:c r="B8" s="2" t="str">
        <x:v>Period 1</x:v>
      </x:c>
      <x:c r="C8" s="2" t="str">
        <x:v>Central kitchen fees</x:v>
      </x:c>
      <x:c r="D8" s="13" t="n">
        <x:v>3800</x:v>
      </x:c>
      <x:c r="E8" s="9" t="n">
        <x:v>31</x:v>
      </x:c>
      <x:c r="F8" s="2" t="str">
        <x:v>Synthetic input</x:v>
      </x:c>
    </x:row>
    <x:row r="9" ht="23" customHeight="1">
      <x:c r="A9" s="2" t="str">
        <x:v>Store A</x:v>
      </x:c>
      <x:c r="B9" s="2" t="str">
        <x:v>Period 1</x:v>
      </x:c>
      <x:c r="C9" s="2" t="str">
        <x:v>Restaurant labor</x:v>
      </x:c>
      <x:c r="D9" s="13" t="n">
        <x:v>21800</x:v>
      </x:c>
      <x:c r="E9" s="9" t="n">
        <x:v>31</x:v>
      </x:c>
      <x:c r="F9" s="2" t="str">
        <x:v>Synthetic input</x:v>
      </x:c>
    </x:row>
    <x:row r="10" ht="23" customHeight="1">
      <x:c r="A10" s="2" t="str">
        <x:v>Store A</x:v>
      </x:c>
      <x:c r="B10" s="2" t="str">
        <x:v>Period 1</x:v>
      </x:c>
      <x:c r="C10" s="2" t="str">
        <x:v>Marketplace commissions</x:v>
      </x:c>
      <x:c r="D10" s="13" t="n">
        <x:v>13300</x:v>
      </x:c>
      <x:c r="E10" s="9" t="n">
        <x:v>31</x:v>
      </x:c>
      <x:c r="F10" s="2" t="str">
        <x:v>Synthetic input</x:v>
      </x:c>
    </x:row>
    <x:row r="11" ht="23" customHeight="1">
      <x:c r="A11" s="2" t="str">
        <x:v>Store A</x:v>
      </x:c>
      <x:c r="B11" s="2" t="str">
        <x:v>Period 1</x:v>
      </x:c>
      <x:c r="C11" s="2" t="str">
        <x:v>Advertising</x:v>
      </x:c>
      <x:c r="D11" s="13" t="n">
        <x:v>4200</x:v>
      </x:c>
      <x:c r="E11" s="9" t="n">
        <x:v>31</x:v>
      </x:c>
      <x:c r="F11" s="2" t="str">
        <x:v>Synthetic input</x:v>
      </x:c>
    </x:row>
    <x:row r="12" ht="23" customHeight="1">
      <x:c r="A12" s="2" t="str">
        <x:v>Store A</x:v>
      </x:c>
      <x:c r="B12" s="2" t="str">
        <x:v>Period 1</x:v>
      </x:c>
      <x:c r="C12" s="2" t="str">
        <x:v>Utilities</x:v>
      </x:c>
      <x:c r="D12" s="13" t="n">
        <x:v>2450</x:v>
      </x:c>
      <x:c r="E12" s="9" t="n">
        <x:v>31</x:v>
      </x:c>
      <x:c r="F12" s="2" t="str">
        <x:v>Synthetic input</x:v>
      </x:c>
    </x:row>
    <x:row r="13" ht="23" customHeight="1">
      <x:c r="A13" s="2" t="str">
        <x:v>Store A</x:v>
      </x:c>
      <x:c r="B13" s="2" t="str">
        <x:v>Period 1</x:v>
      </x:c>
      <x:c r="C13" s="2" t="str">
        <x:v>Transportation</x:v>
      </x:c>
      <x:c r="D13" s="13" t="n">
        <x:v>700</x:v>
      </x:c>
      <x:c r="E13" s="9" t="n">
        <x:v>31</x:v>
      </x:c>
      <x:c r="F13" s="2" t="str">
        <x:v>Synthetic input</x:v>
      </x:c>
    </x:row>
    <x:row r="14" ht="23" customHeight="1">
      <x:c r="A14" s="2" t="str">
        <x:v>Store A</x:v>
      </x:c>
      <x:c r="B14" s="2" t="str">
        <x:v>Period 1</x:v>
      </x:c>
      <x:c r="C14" s="2" t="str">
        <x:v>Other operating expenses</x:v>
      </x:c>
      <x:c r="D14" s="13" t="n">
        <x:v>18400</x:v>
      </x:c>
      <x:c r="E14" s="9" t="n">
        <x:v>31</x:v>
      </x:c>
      <x:c r="F14" s="2" t="str">
        <x:v>Synthetic input</x:v>
      </x:c>
    </x:row>
    <x:row r="15" ht="23" customHeight="1">
      <x:c r="A15" s="2" t="str">
        <x:v>Store A</x:v>
      </x:c>
      <x:c r="B15" s="2" t="str">
        <x:v>Period 2</x:v>
      </x:c>
      <x:c r="C15" s="2" t="str">
        <x:v>Revenue</x:v>
      </x:c>
      <x:c r="D15" s="13" t="n">
        <x:v>91200</x:v>
      </x:c>
      <x:c r="E15" s="9" t="n">
        <x:v>30</x:v>
      </x:c>
      <x:c r="F15" s="2" t="str">
        <x:v>Synthetic input</x:v>
      </x:c>
    </x:row>
    <x:row r="16" ht="23" customHeight="1">
      <x:c r="A16" s="2" t="str">
        <x:v>Store A</x:v>
      </x:c>
      <x:c r="B16" s="2" t="str">
        <x:v>Period 2</x:v>
      </x:c>
      <x:c r="C16" s="2" t="str">
        <x:v>Food and beverage</x:v>
      </x:c>
      <x:c r="D16" s="13" t="n">
        <x:v>25536</x:v>
      </x:c>
      <x:c r="E16" s="9" t="n">
        <x:v>30</x:v>
      </x:c>
      <x:c r="F16" s="2" t="str">
        <x:v>Synthetic input</x:v>
      </x:c>
    </x:row>
    <x:row r="17" ht="23" customHeight="1">
      <x:c r="A17" s="2" t="str">
        <x:v>Store A</x:v>
      </x:c>
      <x:c r="B17" s="2" t="str">
        <x:v>Period 2</x:v>
      </x:c>
      <x:c r="C17" s="2" t="str">
        <x:v>Central kitchen fees</x:v>
      </x:c>
      <x:c r="D17" s="13" t="n">
        <x:v>4104</x:v>
      </x:c>
      <x:c r="E17" s="9" t="n">
        <x:v>30</x:v>
      </x:c>
      <x:c r="F17" s="2" t="str">
        <x:v>Synthetic input</x:v>
      </x:c>
    </x:row>
    <x:row r="18" ht="23" customHeight="1">
      <x:c r="A18" s="2" t="str">
        <x:v>Store A</x:v>
      </x:c>
      <x:c r="B18" s="2" t="str">
        <x:v>Period 2</x:v>
      </x:c>
      <x:c r="C18" s="2" t="str">
        <x:v>Restaurant labor</x:v>
      </x:c>
      <x:c r="D18" s="13" t="n">
        <x:v>21900</x:v>
      </x:c>
      <x:c r="E18" s="9" t="n">
        <x:v>30</x:v>
      </x:c>
      <x:c r="F18" s="2" t="str">
        <x:v>Synthetic input</x:v>
      </x:c>
    </x:row>
    <x:row r="19" ht="23" customHeight="1">
      <x:c r="A19" s="2" t="str">
        <x:v>Store A</x:v>
      </x:c>
      <x:c r="B19" s="2" t="str">
        <x:v>Period 2</x:v>
      </x:c>
      <x:c r="C19" s="2" t="str">
        <x:v>Marketplace commissions</x:v>
      </x:c>
      <x:c r="D19" s="13" t="n">
        <x:v>11400</x:v>
      </x:c>
      <x:c r="E19" s="9" t="n">
        <x:v>30</x:v>
      </x:c>
      <x:c r="F19" s="2" t="str">
        <x:v>Synthetic input</x:v>
      </x:c>
    </x:row>
    <x:row r="20" ht="23" customHeight="1">
      <x:c r="A20" s="2" t="str">
        <x:v>Store A</x:v>
      </x:c>
      <x:c r="B20" s="2" t="str">
        <x:v>Period 2</x:v>
      </x:c>
      <x:c r="C20" s="2" t="str">
        <x:v>Advertising</x:v>
      </x:c>
      <x:c r="D20" s="13" t="n">
        <x:v>3800</x:v>
      </x:c>
      <x:c r="E20" s="9" t="n">
        <x:v>30</x:v>
      </x:c>
      <x:c r="F20" s="2" t="str">
        <x:v>Synthetic input</x:v>
      </x:c>
    </x:row>
    <x:row r="21" ht="23" customHeight="1">
      <x:c r="A21" s="2" t="str">
        <x:v>Store A</x:v>
      </x:c>
      <x:c r="B21" s="2" t="str">
        <x:v>Period 2</x:v>
      </x:c>
      <x:c r="C21" s="2" t="str">
        <x:v>Utilities</x:v>
      </x:c>
      <x:c r="D21" s="13" t="n">
        <x:v>2540</x:v>
      </x:c>
      <x:c r="E21" s="9" t="n">
        <x:v>30</x:v>
      </x:c>
      <x:c r="F21" s="2" t="str">
        <x:v>Synthetic input</x:v>
      </x:c>
    </x:row>
    <x:row r="22" ht="23" customHeight="1">
      <x:c r="A22" s="2" t="str">
        <x:v>Store A</x:v>
      </x:c>
      <x:c r="B22" s="2" t="str">
        <x:v>Period 2</x:v>
      </x:c>
      <x:c r="C22" s="2" t="str">
        <x:v>Transportation</x:v>
      </x:c>
      <x:c r="D22" s="13" t="n">
        <x:v>760</x:v>
      </x:c>
      <x:c r="E22" s="9" t="n">
        <x:v>30</x:v>
      </x:c>
      <x:c r="F22" s="2" t="str">
        <x:v>Synthetic input</x:v>
      </x:c>
    </x:row>
    <x:row r="23" ht="23" customHeight="1">
      <x:c r="A23" s="2" t="str">
        <x:v>Store A</x:v>
      </x:c>
      <x:c r="B23" s="2" t="str">
        <x:v>Period 2</x:v>
      </x:c>
      <x:c r="C23" s="2" t="str">
        <x:v>Other operating expenses</x:v>
      </x:c>
      <x:c r="D23" s="13" t="n">
        <x:v>18600</x:v>
      </x:c>
      <x:c r="E23" s="9" t="n">
        <x:v>30</x:v>
      </x:c>
      <x:c r="F23" s="2" t="str">
        <x:v>Synthetic input</x:v>
      </x:c>
    </x:row>
    <x:row r="24" ht="23" customHeight="1">
      <x:c r="A24" s="2" t="str">
        <x:v>Store B</x:v>
      </x:c>
      <x:c r="B24" s="2" t="str">
        <x:v>Period 1</x:v>
      </x:c>
      <x:c r="C24" s="2" t="str">
        <x:v>Revenue</x:v>
      </x:c>
      <x:c r="D24" s="13" t="n">
        <x:v>58000</x:v>
      </x:c>
      <x:c r="E24" s="9" t="n">
        <x:v>31</x:v>
      </x:c>
      <x:c r="F24" s="2" t="str">
        <x:v>Synthetic input</x:v>
      </x:c>
    </x:row>
    <x:row r="25" ht="23" customHeight="1">
      <x:c r="A25" s="2" t="str">
        <x:v>Store B</x:v>
      </x:c>
      <x:c r="B25" s="2" t="str">
        <x:v>Period 1</x:v>
      </x:c>
      <x:c r="C25" s="2" t="str">
        <x:v>Food and beverage</x:v>
      </x:c>
      <x:c r="D25" s="13" t="n">
        <x:v>16000</x:v>
      </x:c>
      <x:c r="E25" s="9" t="n">
        <x:v>31</x:v>
      </x:c>
      <x:c r="F25" s="2" t="str">
        <x:v>Synthetic input</x:v>
      </x:c>
    </x:row>
    <x:row r="26" ht="23" customHeight="1">
      <x:c r="A26" s="2" t="str">
        <x:v>Store B</x:v>
      </x:c>
      <x:c r="B26" s="2" t="str">
        <x:v>Period 1</x:v>
      </x:c>
      <x:c r="C26" s="2" t="str">
        <x:v>Central kitchen fees</x:v>
      </x:c>
      <x:c r="D26" s="13" t="n">
        <x:v>2500</x:v>
      </x:c>
      <x:c r="E26" s="9" t="n">
        <x:v>31</x:v>
      </x:c>
      <x:c r="F26" s="2" t="str">
        <x:v>Synthetic input</x:v>
      </x:c>
    </x:row>
    <x:row r="27" ht="23" customHeight="1">
      <x:c r="A27" s="2" t="str">
        <x:v>Store B</x:v>
      </x:c>
      <x:c r="B27" s="2" t="str">
        <x:v>Period 1</x:v>
      </x:c>
      <x:c r="C27" s="2" t="str">
        <x:v>Restaurant labor</x:v>
      </x:c>
      <x:c r="D27" s="13" t="n">
        <x:v>14500</x:v>
      </x:c>
      <x:c r="E27" s="9" t="n">
        <x:v>31</x:v>
      </x:c>
      <x:c r="F27" s="2" t="str">
        <x:v>Synthetic input</x:v>
      </x:c>
    </x:row>
    <x:row r="28" ht="23" customHeight="1">
      <x:c r="A28" s="2" t="str">
        <x:v>Store B</x:v>
      </x:c>
      <x:c r="B28" s="2" t="str">
        <x:v>Period 1</x:v>
      </x:c>
      <x:c r="C28" s="2" t="str">
        <x:v>Marketplace commissions</x:v>
      </x:c>
      <x:c r="D28" s="13" t="n">
        <x:v>7500</x:v>
      </x:c>
      <x:c r="E28" s="9" t="n">
        <x:v>31</x:v>
      </x:c>
      <x:c r="F28" s="2" t="str">
        <x:v>Synthetic input</x:v>
      </x:c>
    </x:row>
    <x:row r="29" ht="23" customHeight="1">
      <x:c r="A29" s="2" t="str">
        <x:v>Store B</x:v>
      </x:c>
      <x:c r="B29" s="2" t="str">
        <x:v>Period 1</x:v>
      </x:c>
      <x:c r="C29" s="2" t="str">
        <x:v>Advertising</x:v>
      </x:c>
      <x:c r="D29" s="13" t="n">
        <x:v>3000</x:v>
      </x:c>
      <x:c r="E29" s="9" t="n">
        <x:v>31</x:v>
      </x:c>
      <x:c r="F29" s="2" t="str">
        <x:v>Synthetic input</x:v>
      </x:c>
    </x:row>
    <x:row r="30" ht="23" customHeight="1">
      <x:c r="A30" s="2" t="str">
        <x:v>Store B</x:v>
      </x:c>
      <x:c r="B30" s="2" t="str">
        <x:v>Period 1</x:v>
      </x:c>
      <x:c r="C30" s="2" t="str">
        <x:v>Utilities</x:v>
      </x:c>
      <x:c r="D30" s="13" t="n">
        <x:v>1000</x:v>
      </x:c>
      <x:c r="E30" s="9" t="n">
        <x:v>31</x:v>
      </x:c>
      <x:c r="F30" s="2" t="str">
        <x:v>Synthetic input</x:v>
      </x:c>
    </x:row>
    <x:row r="31" ht="23" customHeight="1">
      <x:c r="A31" s="2" t="str">
        <x:v>Store B</x:v>
      </x:c>
      <x:c r="B31" s="2" t="str">
        <x:v>Period 1</x:v>
      </x:c>
      <x:c r="C31" s="2" t="str">
        <x:v>Transportation</x:v>
      </x:c>
      <x:c r="D31" s="13" t="n">
        <x:v>600</x:v>
      </x:c>
      <x:c r="E31" s="9" t="n">
        <x:v>31</x:v>
      </x:c>
      <x:c r="F31" s="2" t="str">
        <x:v>Synthetic input</x:v>
      </x:c>
    </x:row>
    <x:row r="32" ht="23" customHeight="1">
      <x:c r="A32" s="2" t="str">
        <x:v>Store B</x:v>
      </x:c>
      <x:c r="B32" s="2" t="str">
        <x:v>Period 1</x:v>
      </x:c>
      <x:c r="C32" s="2" t="str">
        <x:v>Other operating expenses</x:v>
      </x:c>
      <x:c r="D32" s="13" t="n">
        <x:v>15000</x:v>
      </x:c>
      <x:c r="E32" s="9" t="n">
        <x:v>31</x:v>
      </x:c>
      <x:c r="F32" s="2" t="str">
        <x:v>Synthetic input</x:v>
      </x:c>
    </x:row>
    <x:row r="33" ht="23" customHeight="1">
      <x:c r="A33" s="2" t="str">
        <x:v>Store B</x:v>
      </x:c>
      <x:c r="B33" s="2" t="str">
        <x:v>Period 2</x:v>
      </x:c>
      <x:c r="C33" s="2" t="str">
        <x:v>Revenue</x:v>
      </x:c>
      <x:c r="D33" s="13" t="n">
        <x:v>63600</x:v>
      </x:c>
      <x:c r="E33" s="9" t="n">
        <x:v>30</x:v>
      </x:c>
      <x:c r="F33" s="2" t="str">
        <x:v>Synthetic input</x:v>
      </x:c>
    </x:row>
    <x:row r="34" ht="23" customHeight="1">
      <x:c r="A34" s="2" t="str">
        <x:v>Store B</x:v>
      </x:c>
      <x:c r="B34" s="2" t="str">
        <x:v>Period 2</x:v>
      </x:c>
      <x:c r="C34" s="2" t="str">
        <x:v>Food and beverage</x:v>
      </x:c>
      <x:c r="D34" s="13" t="n">
        <x:v>17100</x:v>
      </x:c>
      <x:c r="E34" s="9" t="n">
        <x:v>30</x:v>
      </x:c>
      <x:c r="F34" s="2" t="str">
        <x:v>Synthetic input</x:v>
      </x:c>
    </x:row>
    <x:row r="35" ht="23" customHeight="1">
      <x:c r="A35" s="2" t="str">
        <x:v>Store B</x:v>
      </x:c>
      <x:c r="B35" s="2" t="str">
        <x:v>Period 2</x:v>
      </x:c>
      <x:c r="C35" s="2" t="str">
        <x:v>Central kitchen fees</x:v>
      </x:c>
      <x:c r="D35" s="13" t="n">
        <x:v>2700</x:v>
      </x:c>
      <x:c r="E35" s="9" t="n">
        <x:v>30</x:v>
      </x:c>
      <x:c r="F35" s="2" t="str">
        <x:v>Synthetic input</x:v>
      </x:c>
    </x:row>
    <x:row r="36" ht="23" customHeight="1">
      <x:c r="A36" s="2" t="str">
        <x:v>Store B</x:v>
      </x:c>
      <x:c r="B36" s="2" t="str">
        <x:v>Period 2</x:v>
      </x:c>
      <x:c r="C36" s="2" t="str">
        <x:v>Restaurant labor</x:v>
      </x:c>
      <x:c r="D36" s="13" t="n">
        <x:v>16300</x:v>
      </x:c>
      <x:c r="E36" s="9" t="n">
        <x:v>30</x:v>
      </x:c>
      <x:c r="F36" s="2" t="str">
        <x:v>Synthetic input</x:v>
      </x:c>
    </x:row>
    <x:row r="37" ht="23" customHeight="1">
      <x:c r="A37" s="2" t="str">
        <x:v>Store B</x:v>
      </x:c>
      <x:c r="B37" s="2" t="str">
        <x:v>Period 2</x:v>
      </x:c>
      <x:c r="C37" s="2" t="str">
        <x:v>Marketplace commissions</x:v>
      </x:c>
      <x:c r="D37" s="13" t="n">
        <x:v>6800</x:v>
      </x:c>
      <x:c r="E37" s="9" t="n">
        <x:v>30</x:v>
      </x:c>
      <x:c r="F37" s="2" t="str">
        <x:v>Synthetic input</x:v>
      </x:c>
    </x:row>
    <x:row r="38" ht="23" customHeight="1">
      <x:c r="A38" s="2" t="str">
        <x:v>Store B</x:v>
      </x:c>
      <x:c r="B38" s="2" t="str">
        <x:v>Period 2</x:v>
      </x:c>
      <x:c r="C38" s="2" t="str">
        <x:v>Advertising</x:v>
      </x:c>
      <x:c r="D38" s="13" t="n">
        <x:v>3200</x:v>
      </x:c>
      <x:c r="E38" s="9" t="n">
        <x:v>30</x:v>
      </x:c>
      <x:c r="F38" s="2" t="str">
        <x:v>Synthetic input</x:v>
      </x:c>
    </x:row>
    <x:row r="39">
      <x:c r="A39" t="str">
        <x:v>Store B</x:v>
      </x:c>
      <x:c r="B39" t="str">
        <x:v>Period 2</x:v>
      </x:c>
      <x:c r="C39" t="str">
        <x:v>Utilities</x:v>
      </x:c>
      <x:c r="D39" s="14" t="n">
        <x:v>1200</x:v>
      </x:c>
      <x:c r="E39" s="10" t="n">
        <x:v>30</x:v>
      </x:c>
      <x:c r="F39" t="str">
        <x:v>Synthetic input</x:v>
      </x:c>
    </x:row>
    <x:row r="40">
      <x:c r="A40" t="str">
        <x:v>Store B</x:v>
      </x:c>
      <x:c r="B40" t="str">
        <x:v>Period 2</x:v>
      </x:c>
      <x:c r="C40" t="str">
        <x:v>Transportation</x:v>
      </x:c>
      <x:c r="D40" s="14" t="n">
        <x:v>600</x:v>
      </x:c>
      <x:c r="E40" s="10" t="n">
        <x:v>30</x:v>
      </x:c>
      <x:c r="F40" t="str">
        <x:v>Synthetic input</x:v>
      </x:c>
    </x:row>
    <x:row r="41">
      <x:c r="A41" t="str">
        <x:v>Store B</x:v>
      </x:c>
      <x:c r="B41" t="str">
        <x:v>Period 2</x:v>
      </x:c>
      <x:c r="C41" t="str">
        <x:v>Other operating expenses</x:v>
      </x:c>
      <x:c r="D41" s="14" t="n">
        <x:v>15200</x:v>
      </x:c>
      <x:c r="E41" s="10" t="n">
        <x:v>30</x:v>
      </x:c>
      <x:c r="F41" t="str">
        <x:v>Synthetic input</x:v>
      </x:c>
    </x:row>
    <x:row r="42">
      <x:c r="A42" t="str">
        <x:v>Store C</x:v>
      </x:c>
      <x:c r="B42" t="str">
        <x:v>Period 1</x:v>
      </x:c>
      <x:c r="C42" t="str">
        <x:v>Revenue</x:v>
      </x:c>
      <x:c r="D42" s="14" t="n">
        <x:v>132000</x:v>
      </x:c>
      <x:c r="E42" s="10" t="n">
        <x:v>31</x:v>
      </x:c>
      <x:c r="F42" t="str">
        <x:v>Synthetic input</x:v>
      </x:c>
    </x:row>
    <x:row r="43">
      <x:c r="A43" t="str">
        <x:v>Store C</x:v>
      </x:c>
      <x:c r="B43" t="str">
        <x:v>Period 1</x:v>
      </x:c>
      <x:c r="C43" t="str">
        <x:v>Food and beverage</x:v>
      </x:c>
      <x:c r="D43" s="14" t="n">
        <x:v>33000</x:v>
      </x:c>
      <x:c r="E43" s="10" t="n">
        <x:v>31</x:v>
      </x:c>
      <x:c r="F43" t="str">
        <x:v>Synthetic input</x:v>
      </x:c>
    </x:row>
    <x:row r="44">
      <x:c r="A44" t="str">
        <x:v>Store C</x:v>
      </x:c>
      <x:c r="B44" t="str">
        <x:v>Period 1</x:v>
      </x:c>
      <x:c r="C44" t="str">
        <x:v>Central kitchen fees</x:v>
      </x:c>
      <x:c r="D44" s="14" t="n">
        <x:v>5200</x:v>
      </x:c>
      <x:c r="E44" s="10" t="n">
        <x:v>31</x:v>
      </x:c>
      <x:c r="F44" t="str">
        <x:v>Synthetic input</x:v>
      </x:c>
    </x:row>
    <x:row r="45">
      <x:c r="A45" t="str">
        <x:v>Store C</x:v>
      </x:c>
      <x:c r="B45" t="str">
        <x:v>Period 1</x:v>
      </x:c>
      <x:c r="C45" t="str">
        <x:v>Restaurant labor</x:v>
      </x:c>
      <x:c r="D45" s="14" t="n">
        <x:v>27000</x:v>
      </x:c>
      <x:c r="E45" s="10" t="n">
        <x:v>31</x:v>
      </x:c>
      <x:c r="F45" t="str">
        <x:v>Synthetic input</x:v>
      </x:c>
    </x:row>
    <x:row r="46">
      <x:c r="A46" t="str">
        <x:v>Store C</x:v>
      </x:c>
      <x:c r="B46" t="str">
        <x:v>Period 1</x:v>
      </x:c>
      <x:c r="C46" t="str">
        <x:v>Marketplace commissions</x:v>
      </x:c>
      <x:c r="D46" s="14" t="n">
        <x:v>17160</x:v>
      </x:c>
      <x:c r="E46" s="10" t="n">
        <x:v>31</x:v>
      </x:c>
      <x:c r="F46" t="str">
        <x:v>Synthetic input</x:v>
      </x:c>
    </x:row>
    <x:row r="47">
      <x:c r="A47" t="str">
        <x:v>Store C</x:v>
      </x:c>
      <x:c r="B47" t="str">
        <x:v>Period 1</x:v>
      </x:c>
      <x:c r="C47" t="str">
        <x:v>Advertising</x:v>
      </x:c>
      <x:c r="D47" s="14" t="n">
        <x:v>5400</x:v>
      </x:c>
      <x:c r="E47" s="10" t="n">
        <x:v>31</x:v>
      </x:c>
      <x:c r="F47" t="str">
        <x:v>Synthetic input</x:v>
      </x:c>
    </x:row>
    <x:row r="48">
      <x:c r="A48" t="str">
        <x:v>Store C</x:v>
      </x:c>
      <x:c r="B48" t="str">
        <x:v>Period 1</x:v>
      </x:c>
      <x:c r="C48" t="str">
        <x:v>Utilities</x:v>
      </x:c>
      <x:c r="D48" s="14" t="n">
        <x:v>3300</x:v>
      </x:c>
      <x:c r="E48" s="10" t="n">
        <x:v>31</x:v>
      </x:c>
      <x:c r="F48" t="str">
        <x:v>Synthetic input</x:v>
      </x:c>
    </x:row>
    <x:row r="49">
      <x:c r="A49" t="str">
        <x:v>Store C</x:v>
      </x:c>
      <x:c r="B49" t="str">
        <x:v>Period 1</x:v>
      </x:c>
      <x:c r="C49" t="str">
        <x:v>Transportation</x:v>
      </x:c>
      <x:c r="D49" s="14" t="n">
        <x:v>700</x:v>
      </x:c>
      <x:c r="E49" s="10" t="n">
        <x:v>31</x:v>
      </x:c>
      <x:c r="F49" t="str">
        <x:v>Synthetic input</x:v>
      </x:c>
    </x:row>
    <x:row r="50">
      <x:c r="A50" t="str">
        <x:v>Store C</x:v>
      </x:c>
      <x:c r="B50" t="str">
        <x:v>Period 1</x:v>
      </x:c>
      <x:c r="C50" t="str">
        <x:v>Other operating expenses</x:v>
      </x:c>
      <x:c r="D50" s="14" t="n">
        <x:v>21500</x:v>
      </x:c>
      <x:c r="E50" s="10" t="n">
        <x:v>31</x:v>
      </x:c>
      <x:c r="F50" t="str">
        <x:v>Synthetic input</x:v>
      </x:c>
    </x:row>
    <x:row r="51">
      <x:c r="A51" t="str">
        <x:v>Store C</x:v>
      </x:c>
      <x:c r="B51" t="str">
        <x:v>Period 2</x:v>
      </x:c>
      <x:c r="C51" t="str">
        <x:v>Revenue</x:v>
      </x:c>
      <x:c r="D51" s="14" t="n">
        <x:v>136500</x:v>
      </x:c>
      <x:c r="E51" s="10" t="n">
        <x:v>30</x:v>
      </x:c>
      <x:c r="F51" t="str">
        <x:v>Synthetic input</x:v>
      </x:c>
    </x:row>
    <x:row r="52">
      <x:c r="A52" t="str">
        <x:v>Store C</x:v>
      </x:c>
      <x:c r="B52" t="str">
        <x:v>Period 2</x:v>
      </x:c>
      <x:c r="C52" t="str">
        <x:v>Food and beverage</x:v>
      </x:c>
      <x:c r="D52" s="14" t="n">
        <x:v>35000</x:v>
      </x:c>
      <x:c r="E52" s="10" t="n">
        <x:v>30</x:v>
      </x:c>
      <x:c r="F52" t="str">
        <x:v>Synthetic input</x:v>
      </x:c>
    </x:row>
    <x:row r="53">
      <x:c r="A53" t="str">
        <x:v>Store C</x:v>
      </x:c>
      <x:c r="B53" t="str">
        <x:v>Period 2</x:v>
      </x:c>
      <x:c r="C53" t="str">
        <x:v>Central kitchen fees</x:v>
      </x:c>
      <x:c r="D53" s="14" t="n">
        <x:v>5500</x:v>
      </x:c>
      <x:c r="E53" s="10" t="n">
        <x:v>30</x:v>
      </x:c>
      <x:c r="F53" t="str">
        <x:v>Synthetic input</x:v>
      </x:c>
    </x:row>
    <x:row r="54">
      <x:c r="A54" t="str">
        <x:v>Store C</x:v>
      </x:c>
      <x:c r="B54" t="str">
        <x:v>Period 2</x:v>
      </x:c>
      <x:c r="C54" t="str">
        <x:v>Restaurant labor</x:v>
      </x:c>
      <x:c r="D54" s="14" t="n">
        <x:v>28000</x:v>
      </x:c>
      <x:c r="E54" s="10" t="n">
        <x:v>30</x:v>
      </x:c>
      <x:c r="F54" t="str">
        <x:v>Synthetic input</x:v>
      </x:c>
    </x:row>
    <x:row r="55">
      <x:c r="A55" t="str">
        <x:v>Store C</x:v>
      </x:c>
      <x:c r="B55" t="str">
        <x:v>Period 2</x:v>
      </x:c>
      <x:c r="C55" t="str">
        <x:v>Marketplace commissions</x:v>
      </x:c>
      <x:c r="D55" s="14" t="n">
        <x:v>16380</x:v>
      </x:c>
      <x:c r="E55" s="10" t="n">
        <x:v>30</x:v>
      </x:c>
      <x:c r="F55" t="str">
        <x:v>Synthetic input</x:v>
      </x:c>
    </x:row>
    <x:row r="56">
      <x:c r="A56" t="str">
        <x:v>Store C</x:v>
      </x:c>
      <x:c r="B56" t="str">
        <x:v>Period 2</x:v>
      </x:c>
      <x:c r="C56" t="str">
        <x:v>Advertising</x:v>
      </x:c>
      <x:c r="D56" s="14" t="n">
        <x:v>5100</x:v>
      </x:c>
      <x:c r="E56" s="10" t="n">
        <x:v>30</x:v>
      </x:c>
      <x:c r="F56" t="str">
        <x:v>Synthetic input</x:v>
      </x:c>
    </x:row>
    <x:row r="57">
      <x:c r="A57" t="str">
        <x:v>Store C</x:v>
      </x:c>
      <x:c r="B57" t="str">
        <x:v>Period 2</x:v>
      </x:c>
      <x:c r="C57" t="str">
        <x:v>Utilities</x:v>
      </x:c>
      <x:c r="D57" s="14" t="n">
        <x:v>3450</x:v>
      </x:c>
      <x:c r="E57" s="10" t="n">
        <x:v>30</x:v>
      </x:c>
      <x:c r="F57" t="str">
        <x:v>Synthetic input</x:v>
      </x:c>
    </x:row>
    <x:row r="58">
      <x:c r="A58" t="str">
        <x:v>Store C</x:v>
      </x:c>
      <x:c r="B58" t="str">
        <x:v>Period 2</x:v>
      </x:c>
      <x:c r="C58" t="str">
        <x:v>Transportation</x:v>
      </x:c>
      <x:c r="D58" s="14" t="n">
        <x:v>720</x:v>
      </x:c>
      <x:c r="E58" s="10" t="n">
        <x:v>30</x:v>
      </x:c>
      <x:c r="F58" t="str">
        <x:v>Synthetic input</x:v>
      </x:c>
    </x:row>
    <x:row r="59">
      <x:c r="A59" t="str">
        <x:v>Store C</x:v>
      </x:c>
      <x:c r="B59" t="str">
        <x:v>Period 2</x:v>
      </x:c>
      <x:c r="C59" t="str">
        <x:v>Other operating expenses</x:v>
      </x:c>
      <x:c r="D59" s="14" t="n">
        <x:v>21700</x:v>
      </x:c>
      <x:c r="E59" s="10" t="n">
        <x:v>30</x:v>
      </x:c>
      <x:c r="F59" t="str">
        <x:v>Synthetic input</x:v>
      </x:c>
    </x:row>
    <x:row r="62" ht="36" customHeight="1">
      <x:c r="A62" s="16" t="str">
        <x:v>All inputs were generated for this portfolio demonstration. No actual store data is included.</x:v>
      </x:c>
      <x:c r="B62" s="16"/>
      <x:c r="C62" s="16"/>
      <x:c r="D62" s="16"/>
      <x:c r="E62" s="16"/>
      <x:c r="F62" s="16"/>
    </x:row>
  </x:sheetData>
  <x:mergeCells>
    <x:mergeCell ref="A3:F3"/>
    <x:mergeCell ref="A62:F62"/>
  </x:mergeCells>
  <x:pageMargins left="0.7" right="0.7" top="0.75" bottom="0.75" header="0.3" footer="0.3"/>
</x:worksheet>
</file>